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07"/>
  <workbookPr/>
  <mc:AlternateContent xmlns:mc="http://schemas.openxmlformats.org/markup-compatibility/2006">
    <mc:Choice Requires="x15">
      <x15ac:absPath xmlns:x15ac="http://schemas.microsoft.com/office/spreadsheetml/2010/11/ac" url="D:\SVN\Tables\develop\excels\"/>
    </mc:Choice>
  </mc:AlternateContent>
  <xr:revisionPtr revIDLastSave="0" documentId="13_ncr:1_{6BBDB184-204A-478F-8A9F-54F3D6DFB4F9}" xr6:coauthVersionLast="46" xr6:coauthVersionMax="46" xr10:uidLastSave="{00000000-0000-0000-0000-000000000000}"/>
  <bookViews>
    <workbookView xWindow="-120" yWindow="-120" windowWidth="29040" windowHeight="15840" activeTab="2" xr2:uid="{00000000-000D-0000-FFFF-FFFF00000000}"/>
  </bookViews>
  <sheets>
    <sheet name="活动中心|Activity" sheetId="2" r:id="rId1"/>
    <sheet name="新活动|ActivityTplScore" sheetId="3" r:id="rId2"/>
    <sheet name="档位积分|TierScore" sheetId="4" r:id="rId3"/>
    <sheet name="活动排名|RankGift" sheetId="5" r:id="rId4"/>
    <sheet name="积分规则|ScoreRule" sheetId="6" r:id="rId5"/>
    <sheet name="活动权限|ActivityLimits" sheetId="7" r:id="rId6"/>
  </sheets>
  <externalReferences>
    <externalReference r:id="rId7"/>
  </externalReferences>
  <calcPr calcId="191029"/>
</workbook>
</file>

<file path=xl/calcChain.xml><?xml version="1.0" encoding="utf-8"?>
<calcChain xmlns="http://schemas.openxmlformats.org/spreadsheetml/2006/main">
  <c r="F6" i="7" l="1"/>
  <c r="F7" i="7"/>
  <c r="F4" i="7" s="1"/>
  <c r="F8" i="7"/>
  <c r="F5" i="7"/>
  <c r="K11" i="2"/>
  <c r="J11" i="2"/>
  <c r="K10" i="2"/>
  <c r="J10" i="2"/>
  <c r="M12" i="2" l="1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B76" i="4"/>
  <c r="B79" i="4" s="1"/>
  <c r="B82" i="4" s="1"/>
  <c r="B85" i="4" s="1"/>
  <c r="B88" i="4" s="1"/>
  <c r="E75" i="4"/>
  <c r="A75" i="4"/>
  <c r="A78" i="4" s="1"/>
  <c r="A81" i="4" s="1"/>
  <c r="A84" i="4" s="1"/>
  <c r="A87" i="4" s="1"/>
  <c r="E74" i="4"/>
  <c r="E73" i="4"/>
  <c r="B73" i="4"/>
  <c r="A73" i="4"/>
  <c r="A76" i="4" s="1"/>
  <c r="A79" i="4" s="1"/>
  <c r="A82" i="4" s="1"/>
  <c r="A85" i="4" s="1"/>
  <c r="A88" i="4" s="1"/>
  <c r="E72" i="4"/>
  <c r="B72" i="4"/>
  <c r="B75" i="4" s="1"/>
  <c r="B78" i="4" s="1"/>
  <c r="B81" i="4" s="1"/>
  <c r="B84" i="4" s="1"/>
  <c r="B87" i="4" s="1"/>
  <c r="A72" i="4"/>
  <c r="E71" i="4"/>
  <c r="B71" i="4"/>
  <c r="B74" i="4" s="1"/>
  <c r="B77" i="4" s="1"/>
  <c r="B80" i="4" s="1"/>
  <c r="B83" i="4" s="1"/>
  <c r="B86" i="4" s="1"/>
  <c r="A71" i="4"/>
  <c r="A74" i="4" s="1"/>
  <c r="A77" i="4" s="1"/>
  <c r="A80" i="4" s="1"/>
  <c r="A83" i="4" s="1"/>
  <c r="A86" i="4" s="1"/>
  <c r="D70" i="4"/>
  <c r="E70" i="4" s="1"/>
  <c r="E69" i="4"/>
  <c r="D69" i="4"/>
  <c r="D68" i="4"/>
  <c r="E68" i="4" s="1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A30" i="4"/>
  <c r="A39" i="4" s="1"/>
  <c r="A48" i="4" s="1"/>
  <c r="A57" i="4" s="1"/>
  <c r="A66" i="4" s="1"/>
  <c r="E29" i="4"/>
  <c r="E28" i="4"/>
  <c r="E27" i="4"/>
  <c r="E26" i="4"/>
  <c r="A26" i="4"/>
  <c r="A35" i="4" s="1"/>
  <c r="A44" i="4" s="1"/>
  <c r="A53" i="4" s="1"/>
  <c r="A62" i="4" s="1"/>
  <c r="E25" i="4"/>
  <c r="E24" i="4"/>
  <c r="E23" i="4"/>
  <c r="E22" i="4"/>
  <c r="A22" i="4"/>
  <c r="A31" i="4" s="1"/>
  <c r="A40" i="4" s="1"/>
  <c r="A49" i="4" s="1"/>
  <c r="A58" i="4" s="1"/>
  <c r="A67" i="4" s="1"/>
  <c r="E21" i="4"/>
  <c r="A21" i="4"/>
  <c r="E20" i="4"/>
  <c r="A20" i="4"/>
  <c r="A29" i="4" s="1"/>
  <c r="A38" i="4" s="1"/>
  <c r="A47" i="4" s="1"/>
  <c r="A56" i="4" s="1"/>
  <c r="A65" i="4" s="1"/>
  <c r="E19" i="4"/>
  <c r="A19" i="4"/>
  <c r="A28" i="4" s="1"/>
  <c r="A37" i="4" s="1"/>
  <c r="A46" i="4" s="1"/>
  <c r="A55" i="4" s="1"/>
  <c r="A64" i="4" s="1"/>
  <c r="E18" i="4"/>
  <c r="A18" i="4"/>
  <c r="A27" i="4" s="1"/>
  <c r="A36" i="4" s="1"/>
  <c r="A45" i="4" s="1"/>
  <c r="A54" i="4" s="1"/>
  <c r="A63" i="4" s="1"/>
  <c r="E17" i="4"/>
  <c r="A17" i="4"/>
  <c r="E16" i="4"/>
  <c r="A16" i="4"/>
  <c r="A25" i="4" s="1"/>
  <c r="A34" i="4" s="1"/>
  <c r="A43" i="4" s="1"/>
  <c r="A52" i="4" s="1"/>
  <c r="A61" i="4" s="1"/>
  <c r="E15" i="4"/>
  <c r="A15" i="4"/>
  <c r="A24" i="4" s="1"/>
  <c r="A33" i="4" s="1"/>
  <c r="A42" i="4" s="1"/>
  <c r="A51" i="4" s="1"/>
  <c r="A60" i="4" s="1"/>
  <c r="E14" i="4"/>
  <c r="A14" i="4"/>
  <c r="A23" i="4" s="1"/>
  <c r="A32" i="4" s="1"/>
  <c r="A41" i="4" s="1"/>
  <c r="A50" i="4" s="1"/>
  <c r="A59" i="4" s="1"/>
  <c r="E13" i="4"/>
  <c r="D13" i="4"/>
  <c r="E12" i="4"/>
  <c r="D12" i="4"/>
  <c r="D11" i="4"/>
  <c r="E11" i="4" s="1"/>
  <c r="D10" i="4"/>
  <c r="E10" i="4" s="1"/>
  <c r="E9" i="4"/>
  <c r="D9" i="4"/>
  <c r="E8" i="4"/>
  <c r="D8" i="4"/>
  <c r="D7" i="4"/>
  <c r="E7" i="4" s="1"/>
  <c r="D6" i="4"/>
  <c r="E6" i="4" s="1"/>
  <c r="E5" i="4"/>
  <c r="D5" i="4"/>
  <c r="M11" i="3"/>
  <c r="F11" i="3"/>
  <c r="E11" i="3"/>
  <c r="M10" i="3"/>
  <c r="F10" i="3"/>
  <c r="E10" i="3"/>
  <c r="M9" i="3"/>
  <c r="F9" i="3"/>
  <c r="E9" i="3"/>
  <c r="M8" i="3"/>
  <c r="F8" i="3"/>
  <c r="E8" i="3"/>
  <c r="M7" i="3"/>
  <c r="F7" i="3"/>
  <c r="E7" i="3"/>
  <c r="M6" i="3"/>
  <c r="F6" i="3"/>
  <c r="E6" i="3"/>
  <c r="M5" i="3"/>
  <c r="F5" i="3"/>
  <c r="E5" i="3"/>
  <c r="K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  <author>腰花</author>
    <author>Windows 用户</author>
    <author>mac</author>
    <author>朵朵</author>
    <author>周周</author>
  </authors>
  <commentList>
    <comment ref="D1" authorId="0" shapeId="0" xr:uid="{00000000-0006-0000-0000-000001000000}">
      <text>
        <r>
          <rPr>
            <b/>
            <sz val="9"/>
            <rFont val="Tahoma"/>
            <family val="2"/>
          </rPr>
          <t>1=</t>
        </r>
        <r>
          <rPr>
            <b/>
            <sz val="9"/>
            <rFont val="宋体"/>
            <family val="3"/>
            <charset val="134"/>
          </rPr>
          <t xml:space="preserve">服务器默认开启
</t>
        </r>
        <r>
          <rPr>
            <b/>
            <sz val="9"/>
            <rFont val="Tahoma"/>
            <family val="2"/>
          </rPr>
          <t>0=</t>
        </r>
        <r>
          <rPr>
            <b/>
            <sz val="9"/>
            <rFont val="宋体"/>
            <family val="3"/>
            <charset val="134"/>
          </rPr>
          <t>默认不开启</t>
        </r>
      </text>
    </comment>
    <comment ref="E1" authorId="0" shapeId="0" xr:uid="{00000000-0006-0000-0000-000002000000}">
      <text>
        <r>
          <rPr>
            <b/>
            <sz val="9"/>
            <rFont val="Tahoma"/>
            <family val="2"/>
          </rPr>
          <t>1=</t>
        </r>
        <r>
          <rPr>
            <b/>
            <sz val="9"/>
            <rFont val="宋体"/>
            <family val="3"/>
            <charset val="134"/>
          </rPr>
          <t xml:space="preserve">对平台显示
</t>
        </r>
        <r>
          <rPr>
            <b/>
            <sz val="9"/>
            <rFont val="Tahoma"/>
            <family val="2"/>
          </rPr>
          <t>0=</t>
        </r>
        <r>
          <rPr>
            <b/>
            <sz val="9"/>
            <rFont val="宋体"/>
            <family val="3"/>
            <charset val="134"/>
          </rPr>
          <t>不在平台显示</t>
        </r>
      </text>
    </comment>
    <comment ref="F1" authorId="1" shapeId="0" xr:uid="{00000000-0006-0000-0000-000003000000}">
      <text>
        <r>
          <rPr>
            <b/>
            <sz val="9"/>
            <rFont val="宋体"/>
            <family val="3"/>
            <charset val="134"/>
          </rPr>
          <t>shake:
主要用于排行榜</t>
        </r>
        <r>
          <rPr>
            <sz val="9"/>
            <rFont val="宋体"/>
            <family val="3"/>
            <charset val="134"/>
          </rPr>
          <t xml:space="preserve">
1=通服活动
2=单服活动</t>
        </r>
      </text>
    </comment>
    <comment ref="G1" authorId="2" shapeId="0" xr:uid="{00000000-0006-0000-0000-000004000000}">
      <text>
        <r>
          <rPr>
            <sz val="9"/>
            <rFont val="宋体"/>
            <family val="3"/>
            <charset val="134"/>
          </rPr>
          <t>Windows 用户:
type=1 板子轮换顺序
type=2 黑骑士怪物关联
type=3 空
type=4 mine表刷新id
type=5 空</t>
        </r>
      </text>
    </comment>
    <comment ref="I1" authorId="0" shapeId="0" xr:uid="{00000000-0006-0000-0000-000005000000}">
      <text>
        <r>
          <rPr>
            <b/>
            <sz val="9"/>
            <color indexed="81"/>
            <rFont val="微软雅黑"/>
            <family val="2"/>
            <charset val="134"/>
          </rPr>
          <t>type=-1，默认不开启
type=0，距离开服当天UTC0点的时间，单位S（例：0；3600，在开服当天UTC1点开启）</t>
        </r>
        <r>
          <rPr>
            <b/>
            <sz val="9"/>
            <rFont val="微软雅黑"/>
            <family val="2"/>
            <charset val="134"/>
          </rPr>
          <t xml:space="preserve">
</t>
        </r>
        <r>
          <rPr>
            <b/>
            <sz val="9"/>
            <color indexed="81"/>
            <rFont val="微软雅黑"/>
            <family val="2"/>
            <charset val="134"/>
          </rPr>
          <t xml:space="preserve">
type=1，在服务器经历的第x个星期y开启，x=ceiling（time/7），y=mod（time,7）
              注：y=0表示星期天
type=3，在开服第x周的星期y开启，time配置必须&gt;7，y=mod（time,7），x=ceiling（time/7）+ if（0&lt;y&lt;5，0，1）
              注：x=1表示开服当周，y=0表示星期天</t>
        </r>
        <r>
          <rPr>
            <b/>
            <sz val="9"/>
            <rFont val="微软雅黑"/>
            <family val="2"/>
            <charset val="134"/>
          </rPr>
          <t xml:space="preserve">
type=2，以服务器开启的下一个day号的数据为准（如day配3，则为下一个3号，2号开服则3号开启，4号开服则下一个月3号开启）
特殊处理：此处以30为单位，配30则是当月最后一天。
如果配置为31，则是下下个1号，并非下个31号。
备注：
a)如果服务器开启当天满足条件，则当天开启。</t>
        </r>
      </text>
    </comment>
    <comment ref="J1" authorId="3" shapeId="0" xr:uid="{00000000-0006-0000-0000-000006000000}">
      <text>
        <r>
          <rPr>
            <sz val="9"/>
            <rFont val="方正书宋_GBK"/>
            <charset val="134"/>
          </rPr>
          <t xml:space="preserve">
-1= 表示永不关闭
</t>
        </r>
      </text>
    </comment>
    <comment ref="K1" authorId="0" shapeId="0" xr:uid="{00000000-0006-0000-0000-000007000000}">
      <text>
        <r>
          <rPr>
            <b/>
            <sz val="9"/>
            <rFont val="宋体"/>
            <family val="3"/>
            <charset val="134"/>
          </rPr>
          <t>-1 = 永久
0 = 会不开启
其他 = 开启持续的时间(秒）</t>
        </r>
      </text>
    </comment>
    <comment ref="L1" authorId="0" shapeId="0" xr:uid="{00000000-0006-0000-0000-000008000000}">
      <text>
        <r>
          <rPr>
            <b/>
            <sz val="9"/>
            <rFont val="宋体"/>
            <family val="3"/>
            <charset val="134"/>
          </rPr>
          <t>每个阶段的准备时间</t>
        </r>
      </text>
    </comment>
    <comment ref="M1" authorId="4" shapeId="0" xr:uid="{00000000-0006-0000-0000-000009000000}">
      <text>
        <r>
          <rPr>
            <b/>
            <sz val="9"/>
            <rFont val="宋体"/>
            <family val="3"/>
            <charset val="134"/>
          </rPr>
          <t>朵朵:</t>
        </r>
        <r>
          <rPr>
            <sz val="9"/>
            <rFont val="宋体"/>
            <family val="3"/>
            <charset val="134"/>
          </rPr>
          <t xml:space="preserve">
表示两次开启的间隔时间
</t>
        </r>
      </text>
    </comment>
    <comment ref="N1" authorId="5" shapeId="0" xr:uid="{00000000-0006-0000-0000-00000A000000}">
      <text>
        <r>
          <rPr>
            <b/>
            <sz val="9"/>
            <rFont val="宋体"/>
            <family val="3"/>
            <charset val="134"/>
          </rPr>
          <t>周周:</t>
        </r>
        <r>
          <rPr>
            <sz val="9"/>
            <rFont val="宋体"/>
            <family val="3"/>
            <charset val="134"/>
          </rPr>
          <t xml:space="preserve">
0 = 无预告期
其他 = 距离活动开始前N秒</t>
        </r>
      </text>
    </comment>
    <comment ref="O1" authorId="0" shapeId="0" xr:uid="{00000000-0006-0000-0000-00000B000000}">
      <text>
        <r>
          <rPr>
            <b/>
            <sz val="9"/>
            <rFont val="Tahoma"/>
            <family val="2"/>
          </rPr>
          <t>x=1</t>
        </r>
        <r>
          <rPr>
            <b/>
            <sz val="9"/>
            <rFont val="宋体"/>
            <family val="3"/>
            <charset val="134"/>
          </rPr>
          <t>：</t>
        </r>
        <r>
          <rPr>
            <b/>
            <sz val="9"/>
            <rFont val="Tahoma"/>
            <family val="2"/>
          </rPr>
          <t>Y=</t>
        </r>
        <r>
          <rPr>
            <b/>
            <sz val="9"/>
            <rFont val="宋体"/>
            <family val="3"/>
            <charset val="134"/>
          </rPr>
          <t xml:space="preserve">主堡等级
</t>
        </r>
        <r>
          <rPr>
            <b/>
            <sz val="9"/>
            <rFont val="Tahoma"/>
            <family val="2"/>
          </rPr>
          <t>x=2</t>
        </r>
        <r>
          <rPr>
            <b/>
            <sz val="9"/>
            <rFont val="宋体"/>
            <family val="3"/>
            <charset val="134"/>
          </rPr>
          <t>：</t>
        </r>
        <r>
          <rPr>
            <b/>
            <sz val="9"/>
            <rFont val="Tahoma"/>
            <family val="2"/>
          </rPr>
          <t>Y=1</t>
        </r>
        <r>
          <rPr>
            <b/>
            <sz val="9"/>
            <rFont val="宋体"/>
            <family val="3"/>
            <charset val="134"/>
          </rPr>
          <t>加入联盟，</t>
        </r>
        <r>
          <rPr>
            <b/>
            <sz val="9"/>
            <rFont val="Tahoma"/>
            <family val="2"/>
          </rPr>
          <t>Y=0</t>
        </r>
        <r>
          <rPr>
            <b/>
            <sz val="9"/>
            <rFont val="宋体"/>
            <family val="3"/>
            <charset val="134"/>
          </rPr>
          <t xml:space="preserve">未加入联盟
</t>
        </r>
        <r>
          <rPr>
            <b/>
            <sz val="9"/>
            <rFont val="Tahoma"/>
            <family val="2"/>
          </rPr>
          <t>x=0</t>
        </r>
        <r>
          <rPr>
            <b/>
            <sz val="9"/>
            <rFont val="宋体"/>
            <family val="3"/>
            <charset val="134"/>
          </rPr>
          <t>，</t>
        </r>
        <r>
          <rPr>
            <b/>
            <sz val="9"/>
            <rFont val="Tahoma"/>
            <family val="2"/>
          </rPr>
          <t>y=0</t>
        </r>
        <r>
          <rPr>
            <b/>
            <sz val="9"/>
            <rFont val="宋体"/>
            <family val="3"/>
            <charset val="134"/>
          </rPr>
          <t>则无限制</t>
        </r>
      </text>
    </comment>
    <comment ref="I7" authorId="5" shapeId="0" xr:uid="{00000000-0006-0000-0000-00000C000000}">
      <text>
        <r>
          <rPr>
            <b/>
            <sz val="9"/>
            <rFont val="宋体"/>
            <family val="3"/>
            <charset val="134"/>
          </rPr>
          <t>周周:</t>
        </r>
        <r>
          <rPr>
            <sz val="9"/>
            <rFont val="宋体"/>
            <family val="3"/>
            <charset val="134"/>
          </rPr>
          <t xml:space="preserve">
开服后的，第三个周六开启。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xb21cn</author>
    <author>Administrator</author>
    <author>savin</author>
    <author>朵朵</author>
  </authors>
  <commentList>
    <comment ref="B1" authorId="0" shapeId="0" xr:uid="{00000000-0006-0000-0100-000001000000}">
      <text>
        <r>
          <rPr>
            <b/>
            <sz val="9"/>
            <rFont val="宋体"/>
            <family val="3"/>
            <charset val="134"/>
          </rPr>
          <t>对应到活动组里面</t>
        </r>
      </text>
    </comment>
    <comment ref="C1" authorId="1" shapeId="0" xr:uid="{00000000-0006-0000-0100-000002000000}">
      <text>
        <r>
          <rPr>
            <sz val="9"/>
            <rFont val="宋体"/>
            <family val="3"/>
            <charset val="134"/>
          </rPr>
          <t>Administrator:
此处名字为后台显示，不可配置为一样的。
同样的活动出现在活动中心和福利中心名称需要分开。同时是否由服务器自动开启的字段也要统一</t>
        </r>
      </text>
    </comment>
    <comment ref="N1" authorId="2" shapeId="0" xr:uid="{00000000-0006-0000-0100-000003000000}">
      <text>
        <r>
          <rPr>
            <b/>
            <sz val="9"/>
            <rFont val="方正书宋_GBK"/>
            <charset val="134"/>
          </rPr>
          <t>savin:</t>
        </r>
        <r>
          <rPr>
            <sz val="9"/>
            <rFont val="方正书宋_GBK"/>
            <charset val="134"/>
          </rPr>
          <t xml:space="preserve">
category:
1：个人
2：联盟
scope:
1：单服
2：战区
3：全服
scoreId：
对应configScoreGift表的ID</t>
        </r>
      </text>
    </comment>
    <comment ref="O1" authorId="3" shapeId="0" xr:uid="{00000000-0006-0000-0100-000004000000}">
      <text>
        <r>
          <rPr>
            <b/>
            <sz val="9"/>
            <rFont val="宋体"/>
            <family val="3"/>
            <charset val="134"/>
          </rPr>
          <t>朵朵:</t>
        </r>
        <r>
          <rPr>
            <sz val="9"/>
            <rFont val="宋体"/>
            <family val="3"/>
            <charset val="134"/>
          </rPr>
          <t xml:space="preserve">
对应global等级区间</t>
        </r>
      </text>
    </comment>
    <comment ref="P1" authorId="2" shapeId="0" xr:uid="{00000000-0006-0000-0100-000005000000}">
      <text>
        <r>
          <rPr>
            <b/>
            <sz val="9"/>
            <rFont val="方正书宋_GBK"/>
            <charset val="134"/>
          </rPr>
          <t>savin:</t>
        </r>
        <r>
          <rPr>
            <sz val="9"/>
            <rFont val="方正书宋_GBK"/>
            <charset val="134"/>
          </rPr>
          <t xml:space="preserve">
category:
1：个人排行榜
2：联盟排行榜
scope:
1：单服
2：多服
3：全服
rankGiftId：
对应configRankGift表的ID
mailType：
对应configMailType表的ID</t>
        </r>
      </text>
    </comment>
    <comment ref="Q1" authorId="2" shapeId="0" xr:uid="{00000000-0006-0000-0100-000006000000}">
      <text>
        <r>
          <rPr>
            <b/>
            <sz val="9"/>
            <rFont val="方正书宋_GBK"/>
            <charset val="134"/>
          </rPr>
          <t>savin:
胜利战区|失败战区
category:
1：个人排行榜
2：联盟排行榜
scope:
1：单服
2：多服
3：全服
rankGiftId：
对应configRankGift表的ID
mailType：
对应configMailType表的ID</t>
        </r>
      </text>
    </comment>
    <comment ref="R1" authorId="3" shapeId="0" xr:uid="{DE1E8259-0B62-499A-A90F-D7F93D4DE37F}">
      <text>
        <r>
          <rPr>
            <b/>
            <sz val="9"/>
            <color indexed="81"/>
            <rFont val="宋体"/>
            <family val="3"/>
            <charset val="134"/>
          </rPr>
          <t>朵朵: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微软雅黑"/>
            <family val="2"/>
            <charset val="134"/>
          </rPr>
          <t>id:显示状态（1开启0关闭）
id：ActivityLimits表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朵朵</author>
  </authors>
  <commentList>
    <comment ref="A1" authorId="0" shapeId="0" xr:uid="{00000000-0006-0000-0200-000001000000}">
      <text>
        <r>
          <rPr>
            <b/>
            <sz val="9"/>
            <rFont val="宋体"/>
            <family val="3"/>
            <charset val="134"/>
          </rPr>
          <t>朵朵:</t>
        </r>
        <r>
          <rPr>
            <sz val="9"/>
            <rFont val="宋体"/>
            <family val="3"/>
            <charset val="134"/>
          </rPr>
          <t xml:space="preserve">
savin:
10101
从左到右
第1位表示类型：1个人、2联盟
第3位表示阶段（1-7天）
第5位表示档位</t>
        </r>
      </text>
    </comment>
    <comment ref="B1" authorId="0" shapeId="0" xr:uid="{00000000-0006-0000-0200-000002000000}">
      <text>
        <r>
          <rPr>
            <b/>
            <sz val="9"/>
            <rFont val="宋体"/>
            <family val="3"/>
            <charset val="134"/>
          </rPr>
          <t>朵朵:</t>
        </r>
        <r>
          <rPr>
            <sz val="9"/>
            <rFont val="宋体"/>
            <family val="3"/>
            <charset val="134"/>
          </rPr>
          <t xml:space="preserve">
对应global各等级区间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  <author>savin</author>
  </authors>
  <commentList>
    <comment ref="B1" authorId="0" shapeId="0" xr:uid="{00000000-0006-0000-0300-000001000000}">
      <text>
        <r>
          <rPr>
            <sz val="9"/>
            <rFont val="宋体"/>
            <family val="3"/>
            <charset val="134"/>
          </rPr>
          <t>Administrator:
此处名字为后台显示，不可配置为一样的。
同样的活动出现在活动中心和福利中心名称需要分开。同时是否由服务器自动开启的字段也要统一</t>
        </r>
      </text>
    </comment>
    <comment ref="C1" authorId="1" shapeId="0" xr:uid="{00000000-0006-0000-0300-000002000000}">
      <text>
        <r>
          <rPr>
            <b/>
            <sz val="9"/>
            <rFont val="方正书宋_GBK"/>
            <charset val="134"/>
          </rPr>
          <t>savin:</t>
        </r>
        <r>
          <rPr>
            <sz val="9"/>
            <rFont val="方正书宋_GBK"/>
            <charset val="134"/>
          </rPr>
          <t xml:space="preserve">
1：排名名次
2：排名百分比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  <author>朵朵</author>
  </authors>
  <commentList>
    <comment ref="B1" authorId="0" shapeId="0" xr:uid="{00000000-0006-0000-0400-000001000000}">
      <text>
        <r>
          <rPr>
            <sz val="9"/>
            <rFont val="宋体"/>
            <family val="3"/>
            <charset val="134"/>
          </rPr>
          <t>Administrator:
此处名字为后台显示，不可配置为一样的。
同样的活动出现在活动中心和福利中心名称需要分开。同时是否由服务器自动开启的字段也要统一</t>
        </r>
      </text>
    </comment>
    <comment ref="D1" authorId="1" shapeId="0" xr:uid="{00000000-0006-0000-0400-000002000000}">
      <text>
        <r>
          <rPr>
            <b/>
            <sz val="9"/>
            <rFont val="宋体"/>
            <family val="3"/>
            <charset val="134"/>
          </rPr>
          <t>朵朵:</t>
        </r>
        <r>
          <rPr>
            <sz val="9"/>
            <rFont val="宋体"/>
            <family val="3"/>
            <charset val="134"/>
          </rPr>
          <t xml:space="preserve">
1 基地等级（1:等级)
2 活动中心活动开启（2:活动id）
空则为始终显示</t>
        </r>
      </text>
    </comment>
    <comment ref="E1" authorId="1" shapeId="0" xr:uid="{00000000-0006-0000-0400-000003000000}">
      <text>
        <r>
          <rPr>
            <b/>
            <sz val="9"/>
            <rFont val="宋体"/>
            <family val="3"/>
            <charset val="134"/>
          </rPr>
          <t>朵朵:</t>
        </r>
        <r>
          <rPr>
            <sz val="9"/>
            <rFont val="宋体"/>
            <family val="3"/>
            <charset val="134"/>
          </rPr>
          <t xml:space="preserve">
1.取值
2.资源
3.道具id
4.品质
5.孵化专用</t>
        </r>
      </text>
    </comment>
    <comment ref="F1" authorId="1" shapeId="0" xr:uid="{EAFCD9AC-4E80-4543-88FC-719A571E8763}">
      <text>
        <r>
          <rPr>
            <b/>
            <sz val="9"/>
            <color indexed="81"/>
            <rFont val="宋体"/>
            <family val="3"/>
            <charset val="134"/>
          </rPr>
          <t>朵朵: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微软雅黑"/>
            <family val="2"/>
            <charset val="134"/>
          </rPr>
          <t>I18nActivity</t>
        </r>
      </text>
    </comment>
  </commentList>
</comments>
</file>

<file path=xl/sharedStrings.xml><?xml version="1.0" encoding="utf-8"?>
<sst xmlns="http://schemas.openxmlformats.org/spreadsheetml/2006/main" count="683" uniqueCount="454">
  <si>
    <t>id</t>
  </si>
  <si>
    <t>名称</t>
  </si>
  <si>
    <t>前端显示</t>
  </si>
  <si>
    <t>是否默认开启</t>
  </si>
  <si>
    <t>是否对平台显示</t>
  </si>
  <si>
    <t>活动类型</t>
  </si>
  <si>
    <t>子积分活动</t>
  </si>
  <si>
    <t>未领取的奖励是否通过邮件发送</t>
  </si>
  <si>
    <t>何时开启（秒）</t>
  </si>
  <si>
    <t>何时关闭（秒）</t>
  </si>
  <si>
    <t>持续时间（秒）</t>
  </si>
  <si>
    <t>准备时间（秒）</t>
  </si>
  <si>
    <t>间隔时间（秒）</t>
  </si>
  <si>
    <t>距离开启前多少秒显示</t>
  </si>
  <si>
    <t>查看条件</t>
  </si>
  <si>
    <t>排序</t>
  </si>
  <si>
    <t>图标背景</t>
  </si>
  <si>
    <t>Banner</t>
  </si>
  <si>
    <t>附属页面Banner</t>
  </si>
  <si>
    <t>活动类</t>
  </si>
  <si>
    <t>是否一直在“正在进行”里</t>
  </si>
  <si>
    <t>int</t>
  </si>
  <si>
    <t>string</t>
  </si>
  <si>
    <t>bool</t>
  </si>
  <si>
    <t>int[]</t>
  </si>
  <si>
    <t>{int x:int y}[]</t>
  </si>
  <si>
    <t>name</t>
  </si>
  <si>
    <t>is_show</t>
  </si>
  <si>
    <t>backstage</t>
  </si>
  <si>
    <t>show_backstage</t>
  </si>
  <si>
    <t>server_type</t>
  </si>
  <si>
    <t>activity_sub</t>
  </si>
  <si>
    <t>mail</t>
  </si>
  <si>
    <t>begin_time</t>
  </si>
  <si>
    <t>end_time</t>
  </si>
  <si>
    <t>last_time</t>
  </si>
  <si>
    <t>interval_time</t>
  </si>
  <si>
    <t>between_time</t>
  </si>
  <si>
    <t>hide_time</t>
  </si>
  <si>
    <t>open</t>
  </si>
  <si>
    <t>order</t>
  </si>
  <si>
    <t>activity_name</t>
  </si>
  <si>
    <t>activity_background</t>
  </si>
  <si>
    <t>activity_banner</t>
  </si>
  <si>
    <t>extra_banner</t>
  </si>
  <si>
    <t>activity_class</t>
  </si>
  <si>
    <t>is_always_active</t>
  </si>
  <si>
    <t>server/client</t>
  </si>
  <si>
    <t>client</t>
  </si>
  <si>
    <t>server</t>
  </si>
  <si>
    <t>1000101</t>
  </si>
  <si>
    <t>蚁群行动</t>
  </si>
  <si>
    <t>0:604800</t>
  </si>
  <si>
    <t>1:6</t>
  </si>
  <si>
    <t>Acticity_name_01</t>
  </si>
  <si>
    <t>Banner_77</t>
  </si>
  <si>
    <t>Banner_78</t>
  </si>
  <si>
    <t>PersonalArmamentActivity</t>
  </si>
  <si>
    <t>物竞天择</t>
  </si>
  <si>
    <t>0:0</t>
  </si>
  <si>
    <t>1:7</t>
  </si>
  <si>
    <t>Acticity_name_02</t>
  </si>
  <si>
    <t>Banner_79</t>
  </si>
  <si>
    <t>Banner_80</t>
  </si>
  <si>
    <t>ProjectFalconActivity</t>
  </si>
  <si>
    <t>蚁群行动（杀敌）</t>
  </si>
  <si>
    <t>1:20</t>
  </si>
  <si>
    <t>PersonalArmamentActivityKillWeek</t>
  </si>
  <si>
    <t>蚁群行动（开服周)</t>
  </si>
  <si>
    <t>七日签到</t>
  </si>
  <si>
    <t>Acticity_name_04</t>
  </si>
  <si>
    <t>Banner_85</t>
  </si>
  <si>
    <t>最强战区</t>
  </si>
  <si>
    <t>2010201|2010202|2010203|2010204|2010205|2010206|2010207</t>
  </si>
  <si>
    <t>1</t>
  </si>
  <si>
    <t>Acticity_name_05</t>
  </si>
  <si>
    <t>Banner_bestState</t>
  </si>
  <si>
    <t>最强战区-功勋商店</t>
  </si>
  <si>
    <t>Acticity_name_06</t>
  </si>
  <si>
    <t>Banner_bestStateShop</t>
  </si>
  <si>
    <t>王城战</t>
  </si>
  <si>
    <t>Acticity_name_KingsWar</t>
  </si>
  <si>
    <t>ThroneWarActivity</t>
  </si>
  <si>
    <t>GroupId</t>
  </si>
  <si>
    <t>活动说明</t>
  </si>
  <si>
    <t>阶段名称</t>
  </si>
  <si>
    <t>活动描述</t>
  </si>
  <si>
    <t>是否自选</t>
  </si>
  <si>
    <t>自选积分系数</t>
  </si>
  <si>
    <t>循环规则</t>
  </si>
  <si>
    <t>积分来源</t>
  </si>
  <si>
    <t>准备时间</t>
  </si>
  <si>
    <t>持续时间</t>
  </si>
  <si>
    <t>积分奖励</t>
  </si>
  <si>
    <t>战区每日胜利奖励</t>
  </si>
  <si>
    <t>排行奖励</t>
  </si>
  <si>
    <t>double</t>
  </si>
  <si>
    <t>{int interval: int nextId}</t>
  </si>
  <si>
    <t>{int category: int scope: int from: int to}[]</t>
  </si>
  <si>
    <t>{int category: int scope: int rankGiftId: int mailType}[]</t>
  </si>
  <si>
    <t>group_id</t>
  </si>
  <si>
    <t>step_name</t>
  </si>
  <si>
    <t>desc</t>
  </si>
  <si>
    <t>is_choice</t>
  </si>
  <si>
    <t>score_para</t>
  </si>
  <si>
    <t>interval_rule</t>
  </si>
  <si>
    <t>score_sources</t>
  </si>
  <si>
    <t>prepare</t>
  </si>
  <si>
    <t>duration</t>
  </si>
  <si>
    <t>score_gifts</t>
  </si>
  <si>
    <t>daily_win_gift</t>
  </si>
  <si>
    <t>rank_gifts</t>
  </si>
  <si>
    <t>total_rank_gifts</t>
  </si>
  <si>
    <t>client/server</t>
  </si>
  <si>
    <t>2010201</t>
  </si>
  <si>
    <t>最强区域day1</t>
  </si>
  <si>
    <t>采集资源</t>
  </si>
  <si>
    <t>1|3</t>
  </si>
  <si>
    <t>1800</t>
  </si>
  <si>
    <t>1:2:10101:10109|2:2:20101:20103</t>
  </si>
  <si>
    <t>1:2:900001:61005</t>
  </si>
  <si>
    <t>2010202</t>
  </si>
  <si>
    <t>最强区域day2</t>
  </si>
  <si>
    <t>升级建筑</t>
  </si>
  <si>
    <t>1|4</t>
  </si>
  <si>
    <t>1:2:10201:10209|2:2:20201:20203</t>
  </si>
  <si>
    <t>2010203</t>
  </si>
  <si>
    <t>最强区域day3</t>
  </si>
  <si>
    <t>研究科技</t>
  </si>
  <si>
    <t>1|7</t>
  </si>
  <si>
    <t>1:2:10301:10309|2:2:20301:20303</t>
  </si>
  <si>
    <t>2010204</t>
  </si>
  <si>
    <t>最强区域day4</t>
  </si>
  <si>
    <t>英雄培养</t>
  </si>
  <si>
    <t>1:2:10401:10409|2:2:20401:20403</t>
  </si>
  <si>
    <t>2010205</t>
  </si>
  <si>
    <t>最强区域day5</t>
  </si>
  <si>
    <t>训练士兵</t>
  </si>
  <si>
    <t>14|15|16</t>
  </si>
  <si>
    <t>1:2:10501:10509|2:2:20501:20503</t>
  </si>
  <si>
    <t>2010206</t>
  </si>
  <si>
    <t>最强区域day6</t>
  </si>
  <si>
    <t>自选</t>
  </si>
  <si>
    <t>1:2:10601:10609|2:2:20601:20603</t>
  </si>
  <si>
    <t>2010207</t>
  </si>
  <si>
    <t>最强区域day7</t>
  </si>
  <si>
    <t>1:2:10701:10709|2:2:20701:20703</t>
  </si>
  <si>
    <t>1:1:900002:61006|1:1:900003:61007</t>
  </si>
  <si>
    <t>档位</t>
  </si>
  <si>
    <t>奖励</t>
  </si>
  <si>
    <t>等级积分要求</t>
  </si>
  <si>
    <t>奖励名称</t>
  </si>
  <si>
    <t>备注</t>
  </si>
  <si>
    <t>gifts</t>
  </si>
  <si>
    <t>scores</t>
  </si>
  <si>
    <t>gift_name</t>
  </si>
  <si>
    <t>2540111|2540121|2540131|2540141|2540151|2540161|2540171|2540181</t>
  </si>
  <si>
    <t>380000|510000|770000|890000|1000000|1000000|1000000|1000000</t>
  </si>
  <si>
    <t>2540112|2540122|2540132|2540142|2540152|2540162|2540172|2540182</t>
  </si>
  <si>
    <t>1500000|1800000|2100000|3600000|3700000|3700000|3700000|3700000</t>
  </si>
  <si>
    <t>2540113|2540123|2540133|2540143|2540153|2540163|2540173|2540183</t>
  </si>
  <si>
    <t>5400000|7100000|8700000|13000000|13000000|13000000|13000000|13000000</t>
  </si>
  <si>
    <t>2540114|2540124|2540134|2540144|2540154|2540164|2540174|2540184</t>
  </si>
  <si>
    <t>5900000|7600000|10000000|14000000|14000000|14000000|14000000|14000000</t>
  </si>
  <si>
    <t>2540115|2540125|2540135|2540145|2540155|2540165|2540175|2540185</t>
  </si>
  <si>
    <t>8100000|11000000|15000000|19000000|21000000|21000000|21000000|21000000</t>
  </si>
  <si>
    <t>2540116|2540126|2540136|2540146|2540156|2540166|2540176|2540186</t>
  </si>
  <si>
    <t>20800000|28900000|38600000|49500000|53700000|53700000|53700000|53700000</t>
  </si>
  <si>
    <t>2540117|2540127|2540137|2540147|2540157|2540167|2540177|2540187</t>
  </si>
  <si>
    <t>21700000|30200000|40300000|51600000|56200000|56200000|56200000|56200000</t>
  </si>
  <si>
    <t>2540118|2540128|2540138|2540148|2540158|2540168|2540178|2540188</t>
  </si>
  <si>
    <t>30900000|42900000|57400000|72600000|79800000|79800000|79800000|79800000</t>
  </si>
  <si>
    <t>2540119|2540129|2540139|2540149|2540159|2540169|2540179|2540189</t>
  </si>
  <si>
    <t>66500000|92700000|124000000|156500000|172300000|172300000|172300000|172300000</t>
  </si>
  <si>
    <t>370000|610000|860000|980000|1100000|1200000|1200000|1200000</t>
  </si>
  <si>
    <t>ScoreRewardName10101</t>
  </si>
  <si>
    <t>1600000|1900000|3400000|3600000|4900000|5100000|5100000|6300000</t>
  </si>
  <si>
    <t>ScoreRewardName10102</t>
  </si>
  <si>
    <t>5500000|7900000|12000000|13000000|16000000|17000000|18000000|21000000</t>
  </si>
  <si>
    <t>ScoreRewardName10103</t>
  </si>
  <si>
    <t>6500000|8800000|14000000|15000000|19000000|20000000|21000000|25000000</t>
  </si>
  <si>
    <t>ScoreRewardName10104</t>
  </si>
  <si>
    <t>9400000|13000000|20000000|23000000|27000000|30000000|31000000|36000000</t>
  </si>
  <si>
    <t>ScoreRewardName10105</t>
  </si>
  <si>
    <t>19500000|28200000|40200000|47700000|54200000|61700000|63800000|72600000</t>
  </si>
  <si>
    <t>ScoreRewardName10106</t>
  </si>
  <si>
    <t>25000000|36600000|51800000|61500000|69700000|79400000|82200000|93400000</t>
  </si>
  <si>
    <t>ScoreRewardName10107</t>
  </si>
  <si>
    <t>28400000|42000000|59000000|70100000|79300000|90400000|93700000|106000000</t>
  </si>
  <si>
    <t>ScoreRewardName10108</t>
  </si>
  <si>
    <t>62600000|94400000|131000000|156800000|175100000|200700000|207900000|233900000</t>
  </si>
  <si>
    <t>ScoreRewardName10109</t>
  </si>
  <si>
    <t>370000|490000|610000|740000|740000|860000|980000|1100000</t>
  </si>
  <si>
    <t>1400000|1700000|1800000|1900000|3100000|3300000|3400000|3500000</t>
  </si>
  <si>
    <t>6200000|7600000|9000000|10000000|11000000|14000000|15000000|15000000</t>
  </si>
  <si>
    <t>7400000|8800000|10000000|13000000|14000000|16000000|18000000|19000000</t>
  </si>
  <si>
    <t>11000000|13000000|14000000|18000000|20000000|23000000|25000000|28000000</t>
  </si>
  <si>
    <t>24300000|28400000|33700000|41900000|44500000|52600000|58100000|64900000</t>
  </si>
  <si>
    <t>28900000|33800000|39800000|49600000|52900000|62200000|68800000|77100000</t>
  </si>
  <si>
    <t>36500000|42600000|49700000|62500000|66800000|78000000|86600000|96900000</t>
  </si>
  <si>
    <t>84300000|98200000|114000000|142700000|153400000|177600000|197900000|223600000</t>
  </si>
  <si>
    <t>8400000|12000000|16000000|20000000|25000000|26000000|26000000|28000000</t>
  </si>
  <si>
    <t>11000000|16000000|22000000|27000000|32000000|35000000|35000000|38000000</t>
  </si>
  <si>
    <t>25900000|35000000|48200000|59600000|71300000|77000000|80100000|85100000</t>
  </si>
  <si>
    <t>31500000|42300000|58700000|72300000|86600000|93700000|96800000|103000000</t>
  </si>
  <si>
    <t>46500000|62100000|87300000|107000000|128000000|138000000|144000000|152000000</t>
  </si>
  <si>
    <t>87300000|115000000|163000000|200000000|237300000|250500000|268300000|288000000</t>
  </si>
  <si>
    <t>ScoreRewardName20101</t>
  </si>
  <si>
    <t>ScoreRewardName20102</t>
  </si>
  <si>
    <t>ScoreRewardName20103</t>
  </si>
  <si>
    <t>范围类型</t>
  </si>
  <si>
    <t>排名档位奖励</t>
  </si>
  <si>
    <t>{int from: int to: int gift}[]</t>
  </si>
  <si>
    <t>range_type</t>
  </si>
  <si>
    <t>score_rewards</t>
  </si>
  <si>
    <t>900001</t>
  </si>
  <si>
    <t>最强战区_每日个人排行</t>
  </si>
  <si>
    <t>1:1:2540691|2:2:2540692|3:3:2540693|4:5:2540694|6:8:2540695|9:12:2540696|13:20:2540697</t>
  </si>
  <si>
    <t>900002</t>
  </si>
  <si>
    <t>最强战区_赛季胜者组个人排行</t>
  </si>
  <si>
    <t>1:1:25403501|2:2:25403502|3:3:25403503|4:4:25403504|5:5:25403505|6:10:25403506|11:20:25403507|21:50:25403508|51:100:25403509|101:500:25403510|501:99999:25403511</t>
  </si>
  <si>
    <t>900003</t>
  </si>
  <si>
    <t>最强战区_赛季败者组个人排行</t>
  </si>
  <si>
    <t>1:1:25403601|2:2:25403602|3:3:25403603|4:4:25403604|5:5:25403605|6:10:25403606|11:20:25403607|21:50:25403608|51:100:25403609|101:500:25403610|501:99999:25403611</t>
  </si>
  <si>
    <t>数值</t>
  </si>
  <si>
    <t>任务出现条件</t>
  </si>
  <si>
    <t>参数类型</t>
  </si>
  <si>
    <t>显示ICON</t>
  </si>
  <si>
    <t>显示文本</t>
  </si>
  <si>
    <t>积分描述显示</t>
  </si>
  <si>
    <t>{int type:int para}[]</t>
  </si>
  <si>
    <t>string[]</t>
  </si>
  <si>
    <t>para</t>
  </si>
  <si>
    <t>condition</t>
  </si>
  <si>
    <t>parax_type</t>
  </si>
  <si>
    <t>icon</t>
  </si>
  <si>
    <t>rule_name</t>
  </si>
  <si>
    <t>rule_desc</t>
  </si>
  <si>
    <t>任务备注</t>
  </si>
  <si>
    <t>参数说明</t>
  </si>
  <si>
    <t>任务描述备注</t>
  </si>
  <si>
    <t>购买获得钻石</t>
  </si>
  <si>
    <t>BestState_task_1</t>
  </si>
  <si>
    <t>购买1钻石（不受积分倍数加成）</t>
  </si>
  <si>
    <t>购买{num}钻石（不受积分倍数加成）</t>
  </si>
  <si>
    <t>VIP点消费</t>
  </si>
  <si>
    <t>VIP商店中消费1VIP点</t>
  </si>
  <si>
    <t>功能未开发</t>
  </si>
  <si>
    <t>采集</t>
  </si>
  <si>
    <t>采集{res_type}{num}</t>
  </si>
  <si>
    <t>采集{num}点{resources_name}</t>
  </si>
  <si>
    <t>建筑战力</t>
  </si>
  <si>
    <t>提升1点建筑战力</t>
  </si>
  <si>
    <t>战力：积分</t>
  </si>
  <si>
    <t>提升{num}建筑战斗力</t>
  </si>
  <si>
    <t>制造配件</t>
  </si>
  <si>
    <t>制造1件%s配件</t>
  </si>
  <si>
    <t>配件品质：积分</t>
  </si>
  <si>
    <t>消耗能源核心</t>
  </si>
  <si>
    <t>消耗一个能源核心</t>
  </si>
  <si>
    <t>科技战力</t>
  </si>
  <si>
    <t>BestState_task_7</t>
  </si>
  <si>
    <t>提升1点研究战力</t>
  </si>
  <si>
    <t>提升{num}点进化战斗力</t>
  </si>
  <si>
    <t>英雄招募</t>
  </si>
  <si>
    <t>BestState_task_8</t>
  </si>
  <si>
    <t>使用1张%s招募券</t>
  </si>
  <si>
    <t>使用1张{item_name}</t>
  </si>
  <si>
    <t>消耗变异孢子</t>
  </si>
  <si>
    <t>BestState_task_9</t>
  </si>
  <si>
    <t>消耗1个智慧勋章</t>
  </si>
  <si>
    <t>道具id：积分</t>
  </si>
  <si>
    <t>消耗1个{item_name}</t>
  </si>
  <si>
    <t>兑换变异孢子</t>
  </si>
  <si>
    <t>BestState_task_10</t>
  </si>
  <si>
    <t>兑换获得1个智慧勋章</t>
  </si>
  <si>
    <t>兑换获得1个{item_name}</t>
  </si>
  <si>
    <t>英雄获得经验</t>
  </si>
  <si>
    <t>BestState_task_11</t>
  </si>
  <si>
    <t>每获得10点经验</t>
  </si>
  <si>
    <t>经验点数：积分</t>
  </si>
  <si>
    <t>每获得{num}点经验</t>
  </si>
  <si>
    <t>解锁英雄技能</t>
  </si>
  <si>
    <t>1:20000</t>
  </si>
  <si>
    <t>BestState_task_12</t>
  </si>
  <si>
    <t>解锁任意英雄1个技能</t>
  </si>
  <si>
    <t>技能数量：积分</t>
  </si>
  <si>
    <t>解锁任意特化蚁{num}个技能</t>
  </si>
  <si>
    <t>打野怪</t>
  </si>
  <si>
    <t>BestState_task_13</t>
  </si>
  <si>
    <t>击败1个%s级生化人</t>
  </si>
  <si>
    <t>等级范围：积分</t>
  </si>
  <si>
    <t>狩猎1个{num}级野怪</t>
  </si>
  <si>
    <t>BestState_task_14</t>
  </si>
  <si>
    <t>训练1个%s级士兵</t>
  </si>
  <si>
    <t>士兵等级：积分</t>
  </si>
  <si>
    <t>孵化1个{num}级兵蚁</t>
  </si>
  <si>
    <t>强化士兵</t>
  </si>
  <si>
    <t>BestState_task_15</t>
  </si>
  <si>
    <t>强化1个%s级士兵</t>
  </si>
  <si>
    <t>强化1个{num}级兵蚁</t>
  </si>
  <si>
    <t>晋级士兵</t>
  </si>
  <si>
    <t>BestState_task_16</t>
  </si>
  <si>
    <t>相差等级：积分</t>
  </si>
  <si>
    <t>晋级兵蚁，兵蚁等级相差{num}级</t>
  </si>
  <si>
    <t>在伊甸园杀敌</t>
  </si>
  <si>
    <t>在新伊甸园击败1个%s级士兵</t>
  </si>
  <si>
    <t>杀敌</t>
  </si>
  <si>
    <t>BestState_task_18</t>
  </si>
  <si>
    <t>击败%s级士兵（敌对）</t>
  </si>
  <si>
    <t>击败{num}级兵蚁（敌对）</t>
  </si>
  <si>
    <t>攻城时杀敌</t>
  </si>
  <si>
    <t>BestState_task_19</t>
  </si>
  <si>
    <t>进攻基地时阵亡一个%s级士兵（敌对）</t>
  </si>
  <si>
    <t>招募类型id：积分</t>
    <phoneticPr fontId="33" type="noConversion"/>
  </si>
  <si>
    <t>1:200</t>
  </si>
  <si>
    <t>1:8</t>
  </si>
  <si>
    <t>7:4|6:3|1:4000|4:2|2:2</t>
  </si>
  <si>
    <t>1:1000</t>
  </si>
  <si>
    <t>4:120000|3:10000</t>
  </si>
  <si>
    <t>1:400</t>
  </si>
  <si>
    <t>204067:2000</t>
  </si>
  <si>
    <t>204067:1000</t>
  </si>
  <si>
    <t>10:1</t>
  </si>
  <si>
    <t>15:100000|14:90000|13:75000|12:60000|11:45000|10:30000|9:27000|8:24000|7:21000|6:18000|5:15000|4:12000|3:7500|2:3000|1:1500</t>
  </si>
  <si>
    <t>10:400|9:300|8:250|7:200|6:150|5:100|4:75|3:50|2:25|1:10</t>
  </si>
  <si>
    <t>10:200|9:150|8:125|7:100|6:75|5:50|4:35</t>
  </si>
  <si>
    <t>1:25</t>
  </si>
  <si>
    <t>8:98|9:140|10:194</t>
  </si>
  <si>
    <t>10:40|9:30|8:25|7:20|6:15|5:10|4:7|3:5|2:2|1:1</t>
  </si>
  <si>
    <t>10:22|9:18|8:15|7:12|6:10|5:8|4:6|3:4|2:2|1:1</t>
  </si>
  <si>
    <t>3:200000|2:50000|1:10000</t>
    <phoneticPr fontId="33" type="noConversion"/>
  </si>
  <si>
    <t>2540211|2540221|2540231|2540241|2540251|2540261|2540271|2540281</t>
  </si>
  <si>
    <t>2540212|2540222|2540232|2540242|2540252|2540262|2540272|2540282</t>
  </si>
  <si>
    <t>2540213|2540223|2540233|2540243|2540253|2540263|2540273|2540283</t>
  </si>
  <si>
    <t>2540214|2540224|2540234|2540244|2540254|2540264|2540274|2540284</t>
  </si>
  <si>
    <t>2540215|2540225|2540235|2540245|2540255|2540265|2540275|2540285</t>
  </si>
  <si>
    <t>2540216|2540226|2540236|2540246|2540256|2540266|2540276|2540286</t>
  </si>
  <si>
    <t>2540217|2540227|2540237|2540247|2540257|2540267|2540277|2540287</t>
  </si>
  <si>
    <t>2540218|2540228|2540238|2540248|2540258|2540268|2540278|2540288</t>
  </si>
  <si>
    <t>2540219|2540229|2540239|2540249|2540259|2540269|2540279|2540289</t>
  </si>
  <si>
    <t>2540311|2540321|2540331|2540341|2540351|2540361|2540371|2540381</t>
  </si>
  <si>
    <t>2540312|2540322|2540332|2540342|2540352|2540362|2540372|2540382</t>
  </si>
  <si>
    <t>2540313|2540323|2540333|2540343|2540353|2540363|2540373|2540383</t>
  </si>
  <si>
    <t>2540314|2540324|2540334|2540344|2540354|2540364|2540374|2540384</t>
  </si>
  <si>
    <t>2540315|2540325|2540335|2540345|2540355|2540365|2540375|2540385</t>
  </si>
  <si>
    <t>2540316|2540326|2540336|2540346|2540356|2540366|2540376|2540386</t>
  </si>
  <si>
    <t>2540317|2540327|2540337|2540347|2540357|2540367|2540377|2540387</t>
  </si>
  <si>
    <t>2540318|2540328|2540338|2540348|2540358|2540368|2540378|2540388</t>
  </si>
  <si>
    <t>2540319|2540329|2540339|2540349|2540359|2540369|2540379|2540389</t>
  </si>
  <si>
    <t>2540411|2540421|2540431|2540441|2540451|2540461|2540471|2540481</t>
  </si>
  <si>
    <t>2540412|2540422|2540432|2540442|2540452|2540462|2540472|2540482</t>
  </si>
  <si>
    <t>2540413|2540423|2540433|2540443|2540453|2540463|2540473|2540483</t>
  </si>
  <si>
    <t>2540414|2540424|2540434|2540444|2540454|2540464|2540474|2540484</t>
  </si>
  <si>
    <t>2540415|2540425|2540435|2540445|2540455|2540465|2540475|2540485</t>
  </si>
  <si>
    <t>2540416|2540426|2540436|2540446|2540456|2540466|2540476|2540486</t>
  </si>
  <si>
    <t>2540417|2540427|2540437|2540447|2540457|2540467|2540477|2540487</t>
  </si>
  <si>
    <t>2540418|2540428|2540438|2540448|2540458|2540468|2540478|2540488</t>
  </si>
  <si>
    <t>2540419|2540429|2540439|2540449|2540459|2540469|2540479|2540489</t>
  </si>
  <si>
    <t>2540511|2540521|2540531|2540541|2540551|2540561|2540571|2540581</t>
  </si>
  <si>
    <t>2540512|2540522|2540532|2540542|2540552|2540562|2540572|2540582</t>
  </si>
  <si>
    <t>2540513|2540523|2540533|2540543|2540553|2540563|2540573|2540583</t>
  </si>
  <si>
    <t>2540514|2540524|2540534|2540544|2540554|2540564|2540574|2540584</t>
  </si>
  <si>
    <t>2540515|2540525|2540535|2540545|2540555|2540565|2540575|2540585</t>
  </si>
  <si>
    <t>2540516|2540526|2540536|2540546|2540556|2540566|2540576|2540586</t>
  </si>
  <si>
    <t>2540517|2540527|2540537|2540547|2540557|2540567|2540577|2540587</t>
  </si>
  <si>
    <t>2540518|2540528|2540538|2540548|2540558|2540568|2540578|2540588</t>
  </si>
  <si>
    <t>2540519|2540529|2540539|2540549|2540559|2540569|2540579|2540589</t>
  </si>
  <si>
    <t>2540611|2540621|2540631|2540641|2540651|2540661|2540671|2540681</t>
  </si>
  <si>
    <t>2540612|2540622|2540632|2540642|2540652|2540662|2540672|2540682</t>
  </si>
  <si>
    <t>2540613|2540623|2540633|2540643|2540653|2540663|2540673|2540683</t>
  </si>
  <si>
    <t>2540614|2540624|2540634|2540644|2540654|2540664|2540674|2540684</t>
  </si>
  <si>
    <t>2540615|2540625|2540635|2540645|2540655|2540665|2540675|2540685</t>
  </si>
  <si>
    <t>2540616|2540626|2540636|2540646|2540656|2540666|2540676|2540686</t>
  </si>
  <si>
    <t>2540617|2540627|2540637|2540647|2540657|2540667|2540677|2540687</t>
  </si>
  <si>
    <t>2540618|2540628|2540638|2540648|2540658|2540668|2540678|2540688</t>
  </si>
  <si>
    <t>2540619|2540629|2540639|2540649|2540659|2540669|2540679|2540689</t>
  </si>
  <si>
    <t>2540711|2540721|2540731|2540741|2540751|2540761|2540771|2540781</t>
  </si>
  <si>
    <t>2540712|2540722|2540732|2540742|2540752|2540762|2540772|2540782</t>
  </si>
  <si>
    <t>2540713|2540723|2540733|2540743|2540753|2540763|2540773|2540783</t>
  </si>
  <si>
    <t>2540714|2540724|2540734|2540744|2540754|2540764|2540774|2540784</t>
  </si>
  <si>
    <t>2540715|2540725|2540735|2540745|2540755|2540765|2540775|2540785</t>
  </si>
  <si>
    <t>2540716|2540726|2540736|2540746|2540756|2540766|2540776|2540786</t>
  </si>
  <si>
    <t>2540717|2540727|2540737|2540747|2540757|2540767|2540777|2540787</t>
  </si>
  <si>
    <t>2540718|2540728|2540738|2540748|2540758|2540768|2540778|2540788</t>
  </si>
  <si>
    <t>2540719|2540729|2540739|2540749|2540759|2540769|2540779|2540789</t>
  </si>
  <si>
    <t>2540911|2540912|2540913|2540914|2540915|2540916|2540917|2540918</t>
  </si>
  <si>
    <t>2540921|2540922|2540923|2540924|2540925|2540926|2540927|2540928</t>
  </si>
  <si>
    <t>2540931|2540932|2540933|2540934|2540935|2540936|2540937|2540938</t>
  </si>
  <si>
    <t>2540941|2540942|2540943|2540944|2540945|2540946|2540947|2540948</t>
  </si>
  <si>
    <t>2540951|2540952|2540953|2540954|2540955|2540956|2540957|2540958</t>
  </si>
  <si>
    <t>200000|200000|300000|500000|600000|700000|800000|1000000</t>
  </si>
  <si>
    <t>600000|700000|1000000|1500000|2100000|2700000|3300000|4000000</t>
  </si>
  <si>
    <t>1600000|2700000|4000000|5500000|7300000|9300000|11500000|14000000</t>
  </si>
  <si>
    <t>3200000|6200000|9300000|12500000|16200000|20500000|25400000|31000000</t>
  </si>
  <si>
    <t>5400000|11200000|16900000|22500000|28800000|36300000|45000000|55000000</t>
  </si>
  <si>
    <t>8200000|17700000|26800000|35500000|45100000|56700000|70300000|86000000</t>
  </si>
  <si>
    <t>11600000|25700000|39000000|51500000|65100000|81700000|101300000|124000000</t>
  </si>
  <si>
    <t>15600000|35200000|53500000|70500000|88800000|111300000|138000000|169000000</t>
  </si>
  <si>
    <t>20200000|46200000|70300000|92500000|116200000|145500000|180400000|221000000</t>
  </si>
  <si>
    <t>400000|600000|800000|1000000|1000000|1000000|1000000|1000000</t>
  </si>
  <si>
    <t>1500000|2000000|2700000|3500000|3800000|4200000|4400000|4600000</t>
  </si>
  <si>
    <t>5500000|7200000|9600000|12600000|14000000|16200000|17000000|17600000</t>
  </si>
  <si>
    <t>主界面图标</t>
    <phoneticPr fontId="33" type="noConversion"/>
  </si>
  <si>
    <t>icon</t>
    <phoneticPr fontId="33" type="noConversion"/>
  </si>
  <si>
    <t>特效</t>
    <phoneticPr fontId="33" type="noConversion"/>
  </si>
  <si>
    <t>effect</t>
    <phoneticPr fontId="33" type="noConversion"/>
  </si>
  <si>
    <t>homepageIcon_KingsWar</t>
    <phoneticPr fontId="33" type="noConversion"/>
  </si>
  <si>
    <t>homepageEffect_KingsWar</t>
    <phoneticPr fontId="33" type="noConversion"/>
  </si>
  <si>
    <t>限时招募</t>
    <phoneticPr fontId="33" type="noConversion"/>
  </si>
  <si>
    <t>BestState_task_20</t>
  </si>
  <si>
    <t>BestState_task_3</t>
  </si>
  <si>
    <t>BestState_task_4</t>
  </si>
  <si>
    <r>
      <t>晋级士兵，士兵等级相差1级</t>
    </r>
    <r>
      <rPr>
        <sz val="10"/>
        <color rgb="FFFF0000"/>
        <rFont val="微软雅黑"/>
        <family val="2"/>
        <charset val="134"/>
      </rPr>
      <t>（待验证）</t>
    </r>
  </si>
  <si>
    <t>进攻基地时阵亡一个{num}级兵蚁（敌对）</t>
  </si>
  <si>
    <t>204086:200000</t>
    <phoneticPr fontId="33" type="noConversion"/>
  </si>
  <si>
    <t>20|8|9|10|11|12|13</t>
    <phoneticPr fontId="33" type="noConversion"/>
  </si>
  <si>
    <t>activity_banner_KingsWar</t>
    <phoneticPr fontId="33" type="noConversion"/>
  </si>
  <si>
    <t>杀敌</t>
    <phoneticPr fontId="33" type="noConversion"/>
  </si>
  <si>
    <t>18|19</t>
    <phoneticPr fontId="33" type="noConversion"/>
  </si>
  <si>
    <t>权限说明</t>
    <phoneticPr fontId="33" type="noConversion"/>
  </si>
  <si>
    <t>limits_desc</t>
    <phoneticPr fontId="33" type="noConversion"/>
  </si>
  <si>
    <t>受到敌人攻击、侦察、集结</t>
  </si>
  <si>
    <t>攻击、集结野怪</t>
  </si>
  <si>
    <t>activity_limits</t>
    <phoneticPr fontId="33" type="noConversion"/>
  </si>
  <si>
    <t>activity_limits_01</t>
    <phoneticPr fontId="33" type="noConversion"/>
  </si>
  <si>
    <t>activity_limits_02</t>
  </si>
  <si>
    <t>activity_limits_03</t>
  </si>
  <si>
    <t>activity_limits_04</t>
  </si>
  <si>
    <t>显示权限</t>
    <phoneticPr fontId="33" type="noConversion"/>
  </si>
  <si>
    <t>开启状态</t>
    <phoneticPr fontId="33" type="noConversion"/>
  </si>
  <si>
    <t>{int x:int y}[]</t>
    <phoneticPr fontId="33" type="noConversion"/>
  </si>
  <si>
    <t>{int type:int time}</t>
    <phoneticPr fontId="33" type="noConversion"/>
  </si>
  <si>
    <t>{int id:int show}[]</t>
  </si>
  <si>
    <t>攻击、侦察、集结敌方蚁巢</t>
  </si>
  <si>
    <t>64000|90000|380000|770000|1000000|1300000|1300000|1300000</t>
  </si>
  <si>
    <t>190000|210000|1200000|2000000|3500000|3700000|3700000|5000000</t>
  </si>
  <si>
    <t>990000|1400000|7000000|12000000|17000000|19000000|23000000|27000000</t>
  </si>
  <si>
    <t>1100000|1600000|7700000|13000000|19000000|21000000|26000000|30000000</t>
  </si>
  <si>
    <t>1500000|2200000|11000000|18000000|26000000|29000000|35000000|41000000</t>
  </si>
  <si>
    <t>3850000|5690000|27400000|46700000|64600000|72800000|90900000|104000000</t>
  </si>
  <si>
    <t>4150000|6160000|29500000|50500000|69700000|78900000|98900000|113000000</t>
  </si>
  <si>
    <t>5730000|8470000|40700000|69900000|96200000|109000000|136000000|155000000</t>
  </si>
  <si>
    <t>12100000|18200000|86700000|148500000|203900000|229900000|293600000|337000000</t>
  </si>
  <si>
    <t>1:1|2:1|3:1|4:1</t>
  </si>
  <si>
    <t>3:22</t>
  </si>
  <si>
    <t>3:22</t>
    <phoneticPr fontId="33" type="noConversion"/>
  </si>
  <si>
    <t>3:27</t>
    <phoneticPr fontId="33" type="noConversion"/>
  </si>
  <si>
    <t>资源类型：积分(1点资源获得多少积分)</t>
    <phoneticPr fontId="33" type="noConversion"/>
  </si>
  <si>
    <t>胜利得分</t>
    <phoneticPr fontId="33" type="noConversion"/>
  </si>
  <si>
    <t>int</t>
    <phoneticPr fontId="33" type="noConversion"/>
  </si>
  <si>
    <t>win_score</t>
    <phoneticPr fontId="33" type="noConversion"/>
  </si>
  <si>
    <t>1|1|1|1|1|1|1|1</t>
  </si>
  <si>
    <t>1|1|1|1|1|1|1|1</t>
    <phoneticPr fontId="3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</si>
</sst>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>
    <font>
      <sz val="11"/>
      <color theme="1"/>
      <name val="宋体"/>
      <charset val="134"/>
      <scheme val="minor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z val="10"/>
      <color theme="1" tint="0.499984740745262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rgb="FF0070C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theme="9" tint="-0.499984740745262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0"/>
      <color theme="9" tint="-0.249977111117893"/>
      <name val="微软雅黑"/>
      <family val="2"/>
      <charset val="134"/>
    </font>
    <font>
      <sz val="10"/>
      <name val="微软雅黑"/>
      <family val="2"/>
      <charset val="134"/>
    </font>
    <font>
      <sz val="11"/>
      <color indexed="8"/>
      <name val="宋体"/>
      <family val="3"/>
      <charset val="134"/>
    </font>
    <font>
      <sz val="8"/>
      <color indexed="8"/>
      <name val="Arial"/>
      <family val="2"/>
    </font>
    <font>
      <sz val="12"/>
      <name val="宋体"/>
      <family val="3"/>
      <charset val="134"/>
    </font>
    <font>
      <sz val="12"/>
      <color theme="1"/>
      <name val="宋体"/>
      <family val="3"/>
      <charset val="134"/>
      <scheme val="minor"/>
    </font>
    <font>
      <sz val="11"/>
      <color theme="1"/>
      <name val="Tahoma"/>
      <family val="2"/>
    </font>
    <font>
      <sz val="10"/>
      <color rgb="FFFF0000"/>
      <name val="微软雅黑"/>
      <family val="2"/>
      <charset val="134"/>
    </font>
    <font>
      <b/>
      <sz val="9"/>
      <name val="宋体"/>
      <family val="3"/>
      <charset val="134"/>
    </font>
    <font>
      <b/>
      <sz val="9"/>
      <name val="Tahoma"/>
      <family val="2"/>
    </font>
    <font>
      <sz val="9"/>
      <name val="宋体"/>
      <family val="3"/>
      <charset val="134"/>
    </font>
    <font>
      <sz val="9"/>
      <name val="方正书宋_GBK"/>
      <charset val="134"/>
    </font>
    <font>
      <b/>
      <sz val="9"/>
      <name val="方正书宋_GBK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9"/>
      <name val="微软雅黑"/>
      <family val="2"/>
      <charset val="134"/>
    </font>
    <font>
      <b/>
      <sz val="9"/>
      <color indexed="81"/>
      <name val="微软雅黑"/>
      <family val="2"/>
      <charset val="134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9"/>
      <color indexed="81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9.9978637043366805E-2"/>
        <bgColor indexed="64"/>
      </patternFill>
    </fill>
    <fill>
      <patternFill patternType="solid">
        <fgColor theme="8" tint="0.39991454817346722"/>
        <bgColor indexed="64"/>
      </patternFill>
    </fill>
  </fills>
  <borders count="1">
    <border>
      <left/>
      <right/>
      <top/>
      <bottom/>
      <diagonal/>
    </border>
  </borders>
  <cellStyleXfs count="72">
    <xf numFmtId="0" fontId="0" fillId="0" borderId="0"/>
    <xf numFmtId="0" fontId="21" fillId="0" borderId="0">
      <alignment vertical="center"/>
    </xf>
    <xf numFmtId="0" fontId="21" fillId="0" borderId="0">
      <alignment vertical="center"/>
    </xf>
    <xf numFmtId="0" fontId="32" fillId="0" borderId="0">
      <alignment vertical="center"/>
    </xf>
    <xf numFmtId="0" fontId="21" fillId="0" borderId="0">
      <alignment vertical="center"/>
    </xf>
    <xf numFmtId="9" fontId="23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22" fillId="0" borderId="0">
      <alignment vertical="center"/>
    </xf>
    <xf numFmtId="9" fontId="23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9" fontId="23" fillId="0" borderId="0" applyFont="0" applyFill="0" applyBorder="0" applyAlignment="0" applyProtection="0">
      <alignment vertical="center"/>
    </xf>
    <xf numFmtId="0" fontId="24" fillId="0" borderId="0">
      <alignment vertical="center"/>
    </xf>
    <xf numFmtId="0" fontId="23" fillId="0" borderId="0"/>
    <xf numFmtId="9" fontId="23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32" fillId="0" borderId="0">
      <alignment vertical="center"/>
    </xf>
    <xf numFmtId="9" fontId="32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21" fillId="0" borderId="0">
      <alignment vertical="center"/>
    </xf>
    <xf numFmtId="0" fontId="32" fillId="0" borderId="0"/>
    <xf numFmtId="0" fontId="24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24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25" fillId="0" borderId="0"/>
    <xf numFmtId="0" fontId="32" fillId="0" borderId="0">
      <alignment vertical="center"/>
    </xf>
    <xf numFmtId="0" fontId="32" fillId="0" borderId="0"/>
    <xf numFmtId="0" fontId="24" fillId="0" borderId="0">
      <alignment vertical="center"/>
    </xf>
    <xf numFmtId="0" fontId="23" fillId="0" borderId="0"/>
    <xf numFmtId="0" fontId="32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4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3" fillId="0" borderId="0"/>
    <xf numFmtId="0" fontId="23" fillId="0" borderId="0"/>
    <xf numFmtId="0" fontId="21" fillId="0" borderId="0">
      <alignment vertical="center"/>
    </xf>
    <xf numFmtId="0" fontId="21" fillId="0" borderId="0">
      <alignment vertical="center"/>
    </xf>
    <xf numFmtId="0" fontId="32" fillId="0" borderId="0">
      <alignment vertical="center"/>
    </xf>
    <xf numFmtId="0" fontId="23" fillId="0" borderId="0"/>
    <xf numFmtId="0" fontId="23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</cellStyleXfs>
  <cellXfs count="86">
    <xf numFmtId="0" fontId="0" fillId="0" borderId="0" xfId="0"/>
    <xf numFmtId="0" fontId="12" fillId="0" borderId="0" xfId="0" applyNumberFormat="1" applyFont="1" applyAlignment="1">
      <alignment horizontal="center" vertical="center"/>
    </xf>
    <xf numFmtId="0" fontId="13" fillId="0" borderId="0" xfId="0" applyNumberFormat="1" applyFont="1" applyAlignment="1">
      <alignment horizontal="center" vertical="center"/>
    </xf>
    <xf numFmtId="0" fontId="14" fillId="0" borderId="0" xfId="0" applyNumberFormat="1" applyFont="1" applyAlignment="1">
      <alignment horizontal="center" vertical="center"/>
    </xf>
    <xf numFmtId="49" fontId="14" fillId="0" borderId="0" xfId="0" applyNumberFormat="1" applyFont="1" applyAlignment="1">
      <alignment horizontal="left" vertical="center"/>
    </xf>
    <xf numFmtId="0" fontId="14" fillId="0" borderId="0" xfId="0" applyNumberFormat="1" applyFont="1" applyAlignment="1">
      <alignment horizontal="left" vertical="center"/>
    </xf>
    <xf numFmtId="49" fontId="12" fillId="0" borderId="0" xfId="0" applyNumberFormat="1" applyFont="1" applyAlignment="1">
      <alignment horizontal="left" vertical="center"/>
    </xf>
    <xf numFmtId="0" fontId="12" fillId="2" borderId="0" xfId="0" applyNumberFormat="1" applyFont="1" applyFill="1" applyAlignment="1">
      <alignment horizontal="left" vertical="center"/>
    </xf>
    <xf numFmtId="0" fontId="12" fillId="0" borderId="0" xfId="0" applyNumberFormat="1" applyFont="1" applyAlignment="1">
      <alignment horizontal="left" vertical="center"/>
    </xf>
    <xf numFmtId="0" fontId="13" fillId="0" borderId="0" xfId="0" applyNumberFormat="1" applyFont="1" applyAlignment="1">
      <alignment horizontal="left" vertical="center"/>
    </xf>
    <xf numFmtId="49" fontId="12" fillId="0" borderId="0" xfId="0" applyNumberFormat="1" applyFont="1" applyAlignment="1">
      <alignment horizontal="center" vertical="center"/>
    </xf>
    <xf numFmtId="49" fontId="14" fillId="0" borderId="0" xfId="0" applyNumberFormat="1" applyFont="1" applyAlignment="1">
      <alignment horizontal="center" vertical="center"/>
    </xf>
    <xf numFmtId="49" fontId="15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/>
    </xf>
    <xf numFmtId="49" fontId="12" fillId="0" borderId="0" xfId="0" applyNumberFormat="1" applyFont="1" applyFill="1" applyAlignment="1">
      <alignment horizontal="left" vertical="center"/>
    </xf>
    <xf numFmtId="0" fontId="14" fillId="3" borderId="0" xfId="0" applyFont="1" applyFill="1" applyAlignment="1">
      <alignment horizontal="center" vertical="center"/>
    </xf>
    <xf numFmtId="0" fontId="16" fillId="0" borderId="0" xfId="0" applyFont="1" applyFill="1" applyAlignment="1"/>
    <xf numFmtId="0" fontId="15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4" fillId="0" borderId="0" xfId="0" applyFont="1" applyAlignment="1">
      <alignment horizontal="left"/>
    </xf>
    <xf numFmtId="0" fontId="14" fillId="0" borderId="0" xfId="0" applyFont="1" applyFill="1"/>
    <xf numFmtId="49" fontId="14" fillId="0" borderId="0" xfId="0" applyNumberFormat="1" applyFont="1" applyAlignment="1">
      <alignment vertical="center"/>
    </xf>
    <xf numFmtId="0" fontId="14" fillId="0" borderId="0" xfId="0" applyFont="1"/>
    <xf numFmtId="49" fontId="12" fillId="0" borderId="0" xfId="0" applyNumberFormat="1" applyFont="1" applyAlignment="1">
      <alignment vertical="center"/>
    </xf>
    <xf numFmtId="49" fontId="12" fillId="2" borderId="0" xfId="0" applyNumberFormat="1" applyFont="1" applyFill="1" applyAlignment="1">
      <alignment vertical="center"/>
    </xf>
    <xf numFmtId="49" fontId="12" fillId="2" borderId="0" xfId="0" applyNumberFormat="1" applyFont="1" applyFill="1" applyAlignment="1">
      <alignment horizontal="left" vertical="center"/>
    </xf>
    <xf numFmtId="49" fontId="14" fillId="0" borderId="0" xfId="0" applyNumberFormat="1" applyFont="1" applyFill="1" applyAlignment="1">
      <alignment horizontal="center" vertical="center"/>
    </xf>
    <xf numFmtId="0" fontId="14" fillId="0" borderId="0" xfId="0" applyNumberFormat="1" applyFont="1" applyFill="1" applyAlignment="1">
      <alignment vertical="center"/>
    </xf>
    <xf numFmtId="0" fontId="14" fillId="0" borderId="0" xfId="0" applyFont="1" applyFill="1" applyAlignment="1">
      <alignment horizontal="center" vertical="center"/>
    </xf>
    <xf numFmtId="49" fontId="15" fillId="0" borderId="0" xfId="0" applyNumberFormat="1" applyFont="1" applyFill="1" applyAlignment="1">
      <alignment horizontal="left" vertical="center"/>
    </xf>
    <xf numFmtId="49" fontId="15" fillId="0" borderId="0" xfId="0" applyNumberFormat="1" applyFont="1" applyFill="1" applyAlignment="1">
      <alignment horizontal="center" vertical="center"/>
    </xf>
    <xf numFmtId="49" fontId="14" fillId="0" borderId="0" xfId="0" applyNumberFormat="1" applyFont="1" applyFill="1" applyAlignment="1">
      <alignment horizontal="left" vertical="center"/>
    </xf>
    <xf numFmtId="0" fontId="14" fillId="0" borderId="0" xfId="0" applyFont="1" applyAlignment="1">
      <alignment vertical="center"/>
    </xf>
    <xf numFmtId="0" fontId="14" fillId="4" borderId="0" xfId="0" applyNumberFormat="1" applyFont="1" applyFill="1" applyAlignment="1">
      <alignment vertical="center"/>
    </xf>
    <xf numFmtId="0" fontId="14" fillId="0" borderId="0" xfId="0" applyNumberFormat="1" applyFont="1" applyAlignment="1">
      <alignment vertical="center"/>
    </xf>
    <xf numFmtId="0" fontId="18" fillId="0" borderId="0" xfId="0" applyNumberFormat="1" applyFont="1" applyAlignment="1">
      <alignment horizontal="center" vertical="center"/>
    </xf>
    <xf numFmtId="49" fontId="14" fillId="0" borderId="0" xfId="30" applyNumberFormat="1" applyFont="1" applyAlignment="1">
      <alignment horizontal="center" vertical="center"/>
    </xf>
    <xf numFmtId="49" fontId="14" fillId="0" borderId="0" xfId="30" applyNumberFormat="1" applyFont="1" applyAlignment="1">
      <alignment horizontal="left" vertical="center"/>
    </xf>
    <xf numFmtId="49" fontId="14" fillId="0" borderId="0" xfId="30" applyNumberFormat="1" applyFont="1" applyAlignment="1">
      <alignment vertical="center"/>
    </xf>
    <xf numFmtId="49" fontId="12" fillId="2" borderId="0" xfId="30" applyNumberFormat="1" applyFont="1" applyFill="1" applyAlignment="1">
      <alignment horizontal="center" vertical="center"/>
    </xf>
    <xf numFmtId="49" fontId="14" fillId="0" borderId="0" xfId="30" applyNumberFormat="1" applyFont="1" applyFill="1" applyAlignment="1">
      <alignment horizontal="center" vertical="center"/>
    </xf>
    <xf numFmtId="49" fontId="12" fillId="0" borderId="0" xfId="30" applyNumberFormat="1" applyFont="1" applyAlignment="1">
      <alignment horizontal="center" vertical="center"/>
    </xf>
    <xf numFmtId="0" fontId="14" fillId="0" borderId="0" xfId="30" applyNumberFormat="1" applyFont="1" applyAlignment="1">
      <alignment horizontal="center" vertical="center"/>
    </xf>
    <xf numFmtId="0" fontId="14" fillId="4" borderId="0" xfId="0" applyNumberFormat="1" applyFont="1" applyFill="1" applyAlignment="1">
      <alignment horizontal="center" vertical="center"/>
    </xf>
    <xf numFmtId="0" fontId="14" fillId="4" borderId="0" xfId="0" applyNumberFormat="1" applyFont="1" applyFill="1" applyAlignment="1">
      <alignment horizontal="left" vertical="center"/>
    </xf>
    <xf numFmtId="49" fontId="14" fillId="4" borderId="0" xfId="30" applyNumberFormat="1" applyFont="1" applyFill="1" applyAlignment="1">
      <alignment vertical="center"/>
    </xf>
    <xf numFmtId="0" fontId="14" fillId="4" borderId="0" xfId="30" applyNumberFormat="1" applyFont="1" applyFill="1" applyAlignment="1">
      <alignment horizontal="center" vertical="center"/>
    </xf>
    <xf numFmtId="49" fontId="14" fillId="4" borderId="0" xfId="30" applyNumberFormat="1" applyFont="1" applyFill="1" applyAlignment="1">
      <alignment horizontal="center" vertical="center"/>
    </xf>
    <xf numFmtId="0" fontId="19" fillId="0" borderId="0" xfId="0" applyNumberFormat="1" applyFont="1" applyAlignment="1">
      <alignment horizontal="center" vertical="center"/>
    </xf>
    <xf numFmtId="0" fontId="20" fillId="4" borderId="0" xfId="0" applyNumberFormat="1" applyFont="1" applyFill="1" applyAlignment="1">
      <alignment vertical="center"/>
    </xf>
    <xf numFmtId="49" fontId="14" fillId="0" borderId="0" xfId="28" applyNumberFormat="1" applyFont="1" applyAlignment="1">
      <alignment horizontal="center" vertical="center"/>
    </xf>
    <xf numFmtId="49" fontId="14" fillId="0" borderId="0" xfId="28" applyNumberFormat="1" applyFont="1" applyFill="1" applyAlignment="1">
      <alignment horizontal="left" vertical="center"/>
    </xf>
    <xf numFmtId="49" fontId="14" fillId="0" borderId="0" xfId="28" applyNumberFormat="1" applyFont="1" applyFill="1" applyAlignment="1">
      <alignment horizontal="center" vertical="center"/>
    </xf>
    <xf numFmtId="49" fontId="14" fillId="0" borderId="0" xfId="28" applyNumberFormat="1" applyFont="1" applyAlignment="1">
      <alignment horizontal="left" vertical="center"/>
    </xf>
    <xf numFmtId="49" fontId="14" fillId="0" borderId="0" xfId="30" applyNumberFormat="1" applyFont="1" applyFill="1" applyAlignment="1">
      <alignment vertical="center"/>
    </xf>
    <xf numFmtId="49" fontId="14" fillId="4" borderId="0" xfId="28" applyNumberFormat="1" applyFont="1" applyFill="1" applyAlignment="1">
      <alignment horizontal="left" vertical="center"/>
    </xf>
    <xf numFmtId="0" fontId="11" fillId="0" borderId="0" xfId="30" applyFont="1" applyAlignment="1">
      <alignment vertical="center"/>
    </xf>
    <xf numFmtId="0" fontId="10" fillId="0" borderId="0" xfId="30" applyFont="1" applyAlignment="1">
      <alignment vertical="center"/>
    </xf>
    <xf numFmtId="0" fontId="10" fillId="4" borderId="0" xfId="0" applyNumberFormat="1" applyFont="1" applyFill="1" applyAlignment="1">
      <alignment vertical="center"/>
    </xf>
    <xf numFmtId="0" fontId="9" fillId="0" borderId="0" xfId="0" applyNumberFormat="1" applyFont="1" applyAlignment="1">
      <alignment horizontal="center" vertical="center"/>
    </xf>
    <xf numFmtId="0" fontId="9" fillId="0" borderId="0" xfId="0" applyFont="1"/>
    <xf numFmtId="49" fontId="9" fillId="0" borderId="0" xfId="0" applyNumberFormat="1" applyFont="1" applyAlignment="1">
      <alignment horizontal="left" vertical="center"/>
    </xf>
    <xf numFmtId="0" fontId="9" fillId="0" borderId="0" xfId="0" applyNumberFormat="1" applyFont="1" applyAlignment="1">
      <alignment horizontal="left" vertical="center"/>
    </xf>
    <xf numFmtId="0" fontId="9" fillId="3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49" fontId="8" fillId="4" borderId="0" xfId="28" applyNumberFormat="1" applyFont="1" applyFill="1" applyAlignment="1">
      <alignment horizontal="left" vertical="center"/>
    </xf>
    <xf numFmtId="49" fontId="7" fillId="0" borderId="0" xfId="0" applyNumberFormat="1" applyFont="1" applyFill="1" applyAlignment="1">
      <alignment horizontal="center" vertical="center"/>
    </xf>
    <xf numFmtId="0" fontId="19" fillId="0" borderId="0" xfId="0" applyNumberFormat="1" applyFont="1" applyFill="1" applyAlignment="1">
      <alignment vertical="center"/>
    </xf>
    <xf numFmtId="0" fontId="14" fillId="0" borderId="0" xfId="0" applyNumberFormat="1" applyFont="1" applyFill="1" applyAlignment="1">
      <alignment horizontal="center" vertical="center"/>
    </xf>
    <xf numFmtId="0" fontId="6" fillId="0" borderId="0" xfId="0" applyNumberFormat="1" applyFont="1" applyFill="1" applyAlignment="1">
      <alignment horizontal="center" vertical="center"/>
    </xf>
    <xf numFmtId="0" fontId="5" fillId="0" borderId="0" xfId="0" applyFont="1"/>
    <xf numFmtId="49" fontId="5" fillId="0" borderId="0" xfId="30" applyNumberFormat="1" applyFont="1" applyFill="1" applyAlignment="1">
      <alignment horizontal="center" vertical="center"/>
    </xf>
    <xf numFmtId="0" fontId="4" fillId="4" borderId="0" xfId="0" applyNumberFormat="1" applyFont="1" applyFill="1" applyAlignment="1">
      <alignment vertical="center"/>
    </xf>
    <xf numFmtId="0" fontId="12" fillId="0" borderId="0" xfId="0" applyFont="1" applyAlignment="1">
      <alignment vertical="center"/>
    </xf>
    <xf numFmtId="49" fontId="12" fillId="0" borderId="0" xfId="28" applyNumberFormat="1" applyFont="1" applyFill="1" applyAlignment="1">
      <alignment horizontal="left" vertical="center"/>
    </xf>
    <xf numFmtId="49" fontId="12" fillId="0" borderId="0" xfId="30" applyNumberFormat="1" applyFont="1" applyFill="1" applyAlignment="1">
      <alignment horizontal="left" vertical="center"/>
    </xf>
    <xf numFmtId="49" fontId="12" fillId="0" borderId="0" xfId="30" applyNumberFormat="1" applyFont="1" applyAlignment="1">
      <alignment vertical="center"/>
    </xf>
    <xf numFmtId="0" fontId="19" fillId="0" borderId="0" xfId="0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49" fontId="3" fillId="4" borderId="0" xfId="0" applyNumberFormat="1" applyFont="1" applyFill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2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72">
    <cellStyle name="百分比 2" xfId="5" xr:uid="{00000000-0005-0000-0000-000012000000}"/>
    <cellStyle name="百分比 2 2" xfId="8" xr:uid="{00000000-0005-0000-0000-00001A000000}"/>
    <cellStyle name="百分比 2 2 2" xfId="13" xr:uid="{00000000-0005-0000-0000-00002E000000}"/>
    <cellStyle name="百分比 2 3" xfId="10" xr:uid="{00000000-0005-0000-0000-00001E000000}"/>
    <cellStyle name="百分比 3" xfId="16" xr:uid="{00000000-0005-0000-0000-000040000000}"/>
    <cellStyle name="常规" xfId="0" builtinId="0"/>
    <cellStyle name="常规 10" xfId="14" xr:uid="{00000000-0005-0000-0000-00003C000000}"/>
    <cellStyle name="常规 10 2" xfId="15" xr:uid="{00000000-0005-0000-0000-00003E000000}"/>
    <cellStyle name="常规 10 3" xfId="2" xr:uid="{00000000-0005-0000-0000-000006000000}"/>
    <cellStyle name="常规 10 4" xfId="17" xr:uid="{00000000-0005-0000-0000-000041000000}"/>
    <cellStyle name="常规 11" xfId="18" xr:uid="{00000000-0005-0000-0000-000042000000}"/>
    <cellStyle name="常规 11 2" xfId="20" xr:uid="{00000000-0005-0000-0000-000044000000}"/>
    <cellStyle name="常规 12" xfId="7" xr:uid="{00000000-0005-0000-0000-000018000000}"/>
    <cellStyle name="常规 12 2" xfId="21" xr:uid="{00000000-0005-0000-0000-000045000000}"/>
    <cellStyle name="常规 12 3" xfId="22" xr:uid="{00000000-0005-0000-0000-000046000000}"/>
    <cellStyle name="常规 13" xfId="19" xr:uid="{00000000-0005-0000-0000-000043000000}"/>
    <cellStyle name="常规 13 2" xfId="23" xr:uid="{00000000-0005-0000-0000-000047000000}"/>
    <cellStyle name="常规 14" xfId="24" xr:uid="{00000000-0005-0000-0000-000048000000}"/>
    <cellStyle name="常规 15" xfId="25" xr:uid="{00000000-0005-0000-0000-000049000000}"/>
    <cellStyle name="常规 16" xfId="27" xr:uid="{00000000-0005-0000-0000-00004B000000}"/>
    <cellStyle name="常规 17" xfId="29" xr:uid="{00000000-0005-0000-0000-00004D000000}"/>
    <cellStyle name="常规 18" xfId="31" xr:uid="{00000000-0005-0000-0000-00004F000000}"/>
    <cellStyle name="常规 19" xfId="32" xr:uid="{00000000-0005-0000-0000-000050000000}"/>
    <cellStyle name="常规 2" xfId="33" xr:uid="{00000000-0005-0000-0000-000051000000}"/>
    <cellStyle name="常规 2 2" xfId="34" xr:uid="{00000000-0005-0000-0000-000052000000}"/>
    <cellStyle name="常规 2 2 2" xfId="35" xr:uid="{00000000-0005-0000-0000-000053000000}"/>
    <cellStyle name="常规 2 2 2 2" xfId="36" xr:uid="{00000000-0005-0000-0000-000054000000}"/>
    <cellStyle name="常规 2 2 3" xfId="37" xr:uid="{00000000-0005-0000-0000-000055000000}"/>
    <cellStyle name="常规 2 2 4" xfId="1" xr:uid="{00000000-0005-0000-0000-000003000000}"/>
    <cellStyle name="常规 2 3" xfId="38" xr:uid="{00000000-0005-0000-0000-000056000000}"/>
    <cellStyle name="常规 2 3 2" xfId="39" xr:uid="{00000000-0005-0000-0000-000057000000}"/>
    <cellStyle name="常规 2 3 3" xfId="40" xr:uid="{00000000-0005-0000-0000-000058000000}"/>
    <cellStyle name="常规 2 3 4" xfId="41" xr:uid="{00000000-0005-0000-0000-000059000000}"/>
    <cellStyle name="常规 2 4" xfId="42" xr:uid="{00000000-0005-0000-0000-00005A000000}"/>
    <cellStyle name="常规 2 4 2" xfId="43" xr:uid="{00000000-0005-0000-0000-00005B000000}"/>
    <cellStyle name="常规 2 5" xfId="44" xr:uid="{00000000-0005-0000-0000-00005C000000}"/>
    <cellStyle name="常规 2 6" xfId="45" xr:uid="{00000000-0005-0000-0000-00005D000000}"/>
    <cellStyle name="常规 2 7" xfId="46" xr:uid="{00000000-0005-0000-0000-00005E000000}"/>
    <cellStyle name="常规 20" xfId="26" xr:uid="{00000000-0005-0000-0000-00004A000000}"/>
    <cellStyle name="常规 21" xfId="28" xr:uid="{00000000-0005-0000-0000-00004C000000}"/>
    <cellStyle name="常规 22" xfId="30" xr:uid="{00000000-0005-0000-0000-00004E000000}"/>
    <cellStyle name="常规 3" xfId="47" xr:uid="{00000000-0005-0000-0000-00005F000000}"/>
    <cellStyle name="常规 3 2" xfId="48" xr:uid="{00000000-0005-0000-0000-000060000000}"/>
    <cellStyle name="常规 3 2 2" xfId="49" xr:uid="{00000000-0005-0000-0000-000061000000}"/>
    <cellStyle name="常规 3 2 2 2" xfId="50" xr:uid="{00000000-0005-0000-0000-000062000000}"/>
    <cellStyle name="常规 3 2 3" xfId="51" xr:uid="{00000000-0005-0000-0000-000063000000}"/>
    <cellStyle name="常规 3 3" xfId="52" xr:uid="{00000000-0005-0000-0000-000064000000}"/>
    <cellStyle name="常规 3 3 2" xfId="53" xr:uid="{00000000-0005-0000-0000-000065000000}"/>
    <cellStyle name="常规 3 4" xfId="54" xr:uid="{00000000-0005-0000-0000-000066000000}"/>
    <cellStyle name="常规 4" xfId="55" xr:uid="{00000000-0005-0000-0000-000067000000}"/>
    <cellStyle name="常规 4 2" xfId="56" xr:uid="{00000000-0005-0000-0000-000068000000}"/>
    <cellStyle name="常规 4 2 2" xfId="57" xr:uid="{00000000-0005-0000-0000-000069000000}"/>
    <cellStyle name="常规 4 3" xfId="58" xr:uid="{00000000-0005-0000-0000-00006A000000}"/>
    <cellStyle name="常规 5" xfId="59" xr:uid="{00000000-0005-0000-0000-00006B000000}"/>
    <cellStyle name="常规 5 2" xfId="6" xr:uid="{00000000-0005-0000-0000-000017000000}"/>
    <cellStyle name="常规 5 2 2" xfId="9" xr:uid="{00000000-0005-0000-0000-00001D000000}"/>
    <cellStyle name="常规 5 3" xfId="60" xr:uid="{00000000-0005-0000-0000-00006C000000}"/>
    <cellStyle name="常规 6" xfId="4" xr:uid="{00000000-0005-0000-0000-000011000000}"/>
    <cellStyle name="常规 6 2" xfId="61" xr:uid="{00000000-0005-0000-0000-00006D000000}"/>
    <cellStyle name="常规 6 3" xfId="62" xr:uid="{00000000-0005-0000-0000-00006E000000}"/>
    <cellStyle name="常规 7" xfId="63" xr:uid="{00000000-0005-0000-0000-00006F000000}"/>
    <cellStyle name="常规 7 2" xfId="64" xr:uid="{00000000-0005-0000-0000-000070000000}"/>
    <cellStyle name="常规 7 2 2" xfId="65" xr:uid="{00000000-0005-0000-0000-000071000000}"/>
    <cellStyle name="常规 7 3" xfId="3" xr:uid="{00000000-0005-0000-0000-000009000000}"/>
    <cellStyle name="常规 7 4" xfId="66" xr:uid="{00000000-0005-0000-0000-000072000000}"/>
    <cellStyle name="常规 8" xfId="67" xr:uid="{00000000-0005-0000-0000-000073000000}"/>
    <cellStyle name="常规 8 2" xfId="12" xr:uid="{00000000-0005-0000-0000-00002D000000}"/>
    <cellStyle name="常规 8 3" xfId="11" xr:uid="{00000000-0005-0000-0000-000026000000}"/>
    <cellStyle name="常规 9" xfId="68" xr:uid="{00000000-0005-0000-0000-000074000000}"/>
    <cellStyle name="常规 9 2" xfId="69" xr:uid="{00000000-0005-0000-0000-000075000000}"/>
    <cellStyle name="常规 9 2 2" xfId="70" xr:uid="{00000000-0005-0000-0000-000076000000}"/>
    <cellStyle name="常规 9 3" xfId="71" xr:uid="{00000000-0005-0000-0000-000077000000}"/>
  </cellStyles>
  <dxfs count="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18nActivit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活動相關國際化|I18NActivity"/>
    </sheetNames>
    <sheetDataSet>
      <sheetData sheetId="0">
        <row r="1">
          <cell r="A1" t="str">
            <v>ID</v>
          </cell>
          <cell r="C1"/>
        </row>
        <row r="2">
          <cell r="A2" t="str">
            <v>string</v>
          </cell>
          <cell r="C2"/>
        </row>
        <row r="3">
          <cell r="A3" t="str">
            <v>id</v>
          </cell>
          <cell r="C3"/>
        </row>
        <row r="4">
          <cell r="A4" t="str">
            <v>client/server</v>
          </cell>
          <cell r="C4"/>
        </row>
        <row r="5">
          <cell r="A5" t="str">
            <v>WelfareCenter_name_01</v>
          </cell>
          <cell r="C5"/>
        </row>
        <row r="6">
          <cell r="A6" t="str">
            <v>WelfareCenter_name_02</v>
          </cell>
          <cell r="C6"/>
        </row>
        <row r="7">
          <cell r="A7" t="str">
            <v>WelfareCenter_name_03</v>
          </cell>
          <cell r="C7"/>
        </row>
        <row r="8">
          <cell r="A8" t="str">
            <v>WelfareCenter_name_04</v>
          </cell>
          <cell r="C8"/>
        </row>
        <row r="9">
          <cell r="A9" t="str">
            <v>WelfareCenter_name_05</v>
          </cell>
          <cell r="C9"/>
        </row>
        <row r="10">
          <cell r="A10" t="str">
            <v>WelfareCenter_name_06</v>
          </cell>
          <cell r="C10"/>
        </row>
        <row r="11">
          <cell r="A11" t="str">
            <v>WelfareCenter_name_07</v>
          </cell>
          <cell r="C11"/>
        </row>
        <row r="12">
          <cell r="A12" t="str">
            <v>WelfareCenter_name_08</v>
          </cell>
          <cell r="C12"/>
        </row>
        <row r="13">
          <cell r="A13" t="str">
            <v>WelfareCenter_name_09</v>
          </cell>
          <cell r="C13"/>
        </row>
        <row r="14">
          <cell r="A14" t="str">
            <v>WelfareCenter_name_10</v>
          </cell>
          <cell r="C14"/>
        </row>
        <row r="15">
          <cell r="A15" t="str">
            <v>WelfareCenter_name_11</v>
          </cell>
          <cell r="C15"/>
        </row>
        <row r="16">
          <cell r="A16" t="str">
            <v>WelfareCenter_name_12</v>
          </cell>
          <cell r="C16"/>
        </row>
        <row r="17">
          <cell r="A17" t="str">
            <v>acticity_slogan_01</v>
          </cell>
          <cell r="C17"/>
        </row>
        <row r="18">
          <cell r="A18" t="str">
            <v>acticity_slogan_02</v>
          </cell>
          <cell r="C18"/>
        </row>
        <row r="19">
          <cell r="A19" t="str">
            <v>acticity_slogan_03</v>
          </cell>
          <cell r="C19"/>
        </row>
        <row r="20">
          <cell r="A20" t="str">
            <v>acticity_slogan_04</v>
          </cell>
          <cell r="C20"/>
        </row>
        <row r="21">
          <cell r="A21" t="str">
            <v>acticity_slogan_05</v>
          </cell>
          <cell r="C21"/>
        </row>
        <row r="22">
          <cell r="A22" t="str">
            <v>acticity_slogan_06</v>
          </cell>
          <cell r="C22"/>
        </row>
        <row r="23">
          <cell r="A23" t="str">
            <v>acticity_slogan_07</v>
          </cell>
          <cell r="C23"/>
        </row>
        <row r="24">
          <cell r="A24" t="str">
            <v>acticity_slogan_08</v>
          </cell>
          <cell r="C24"/>
        </row>
        <row r="25">
          <cell r="A25" t="str">
            <v>acticity_slogan_09</v>
          </cell>
          <cell r="C25"/>
        </row>
        <row r="26">
          <cell r="A26" t="str">
            <v>acticity_rule_01</v>
          </cell>
          <cell r="C26"/>
        </row>
        <row r="27">
          <cell r="A27" t="str">
            <v>acticity_rule_02</v>
          </cell>
          <cell r="C27"/>
        </row>
        <row r="28">
          <cell r="A28" t="str">
            <v>acticity_rule_03</v>
          </cell>
          <cell r="C28"/>
        </row>
        <row r="29">
          <cell r="A29" t="str">
            <v>acticity_rule_04</v>
          </cell>
          <cell r="C29"/>
        </row>
        <row r="30">
          <cell r="A30" t="str">
            <v>acticity_rule_05</v>
          </cell>
          <cell r="C30"/>
        </row>
        <row r="31">
          <cell r="A31" t="str">
            <v>acticity_rule_06</v>
          </cell>
          <cell r="C31"/>
        </row>
        <row r="32">
          <cell r="A32" t="str">
            <v>WelfareCenter_ui_01</v>
          </cell>
          <cell r="C32"/>
        </row>
        <row r="33">
          <cell r="A33" t="str">
            <v>WelfareCenter_ui_02</v>
          </cell>
          <cell r="C33"/>
        </row>
        <row r="34">
          <cell r="A34" t="str">
            <v>WelfareCenter_ui_03</v>
          </cell>
          <cell r="C34"/>
        </row>
        <row r="35">
          <cell r="A35" t="str">
            <v>WelfareCenter_ui_04</v>
          </cell>
          <cell r="C35"/>
        </row>
        <row r="36">
          <cell r="A36" t="str">
            <v>WelfareCenter_ui_05</v>
          </cell>
          <cell r="C36"/>
        </row>
        <row r="37">
          <cell r="A37" t="str">
            <v>WelfareCenter_ui_06</v>
          </cell>
          <cell r="C37"/>
        </row>
        <row r="38">
          <cell r="A38" t="str">
            <v>WelfareCenter_ui_07</v>
          </cell>
          <cell r="C38"/>
        </row>
        <row r="39">
          <cell r="A39" t="str">
            <v>WelfareCenter_ui_08</v>
          </cell>
          <cell r="C39"/>
        </row>
        <row r="40">
          <cell r="A40" t="str">
            <v>WelfareCenter_ui_09</v>
          </cell>
          <cell r="C40"/>
        </row>
        <row r="41">
          <cell r="A41" t="str">
            <v>WelfareCenter_ui_10</v>
          </cell>
          <cell r="C41"/>
        </row>
        <row r="42">
          <cell r="A42" t="str">
            <v>WelfareCenter_ui_11</v>
          </cell>
          <cell r="C42"/>
        </row>
        <row r="43">
          <cell r="A43" t="str">
            <v>WelfareCenter_ui_12</v>
          </cell>
          <cell r="C43"/>
        </row>
        <row r="44">
          <cell r="A44" t="str">
            <v>WelfareCenter_ui_13</v>
          </cell>
          <cell r="C44"/>
        </row>
        <row r="45">
          <cell r="A45" t="str">
            <v>WelfareCenter_ui_14</v>
          </cell>
          <cell r="C45"/>
        </row>
        <row r="46">
          <cell r="A46" t="str">
            <v>WelfareCenter_ui_15</v>
          </cell>
          <cell r="C46"/>
        </row>
        <row r="47">
          <cell r="A47" t="str">
            <v>WelfareCenter_ui_16</v>
          </cell>
          <cell r="C47"/>
        </row>
        <row r="48">
          <cell r="A48" t="str">
            <v>WelfareCenter_ui_17</v>
          </cell>
          <cell r="C48"/>
        </row>
        <row r="49">
          <cell r="A49" t="str">
            <v>WelfareCenter_ui_18</v>
          </cell>
          <cell r="C49"/>
        </row>
        <row r="50">
          <cell r="A50" t="str">
            <v>WelfareCenter_ui_19</v>
          </cell>
          <cell r="C50"/>
        </row>
        <row r="51">
          <cell r="A51" t="str">
            <v>WelfareCenter_ui_20</v>
          </cell>
          <cell r="C51"/>
        </row>
        <row r="52">
          <cell r="A52" t="str">
            <v>WelfareCenter_ui_21</v>
          </cell>
          <cell r="C52"/>
        </row>
        <row r="53">
          <cell r="A53" t="str">
            <v>WelfareCenter_ui_22</v>
          </cell>
          <cell r="C53"/>
        </row>
        <row r="54">
          <cell r="A54" t="str">
            <v>WelfareCenter_ui_23</v>
          </cell>
          <cell r="C54"/>
        </row>
        <row r="55">
          <cell r="A55" t="str">
            <v>WelfareCenter_ui_24</v>
          </cell>
          <cell r="C55"/>
        </row>
        <row r="56">
          <cell r="A56" t="str">
            <v>WelfareCenter_ui_25</v>
          </cell>
          <cell r="C56"/>
        </row>
        <row r="57">
          <cell r="A57" t="str">
            <v>WelfareCenter_ui_26</v>
          </cell>
          <cell r="C57"/>
        </row>
        <row r="58">
          <cell r="A58" t="str">
            <v>WelfareCenter_ui_27</v>
          </cell>
          <cell r="C58"/>
        </row>
        <row r="59">
          <cell r="A59" t="str">
            <v>WelfareCenter_ui_28</v>
          </cell>
          <cell r="C59"/>
        </row>
        <row r="60">
          <cell r="A60" t="str">
            <v>WelfareCenter_ui_29</v>
          </cell>
          <cell r="C60"/>
        </row>
        <row r="61">
          <cell r="A61" t="str">
            <v>WelfareCenter_ui_30</v>
          </cell>
          <cell r="C61"/>
        </row>
        <row r="62">
          <cell r="A62" t="str">
            <v>WelfareCenter_ui_31</v>
          </cell>
          <cell r="C62"/>
        </row>
        <row r="63">
          <cell r="A63" t="str">
            <v>WelfareCenter_ui_32</v>
          </cell>
          <cell r="C63"/>
        </row>
        <row r="64">
          <cell r="A64" t="str">
            <v>WelfareCenter_ui_33</v>
          </cell>
          <cell r="C64"/>
        </row>
        <row r="65">
          <cell r="A65" t="str">
            <v>WelfareCenter_ui_34</v>
          </cell>
          <cell r="C65"/>
        </row>
        <row r="66">
          <cell r="A66" t="str">
            <v>WelfareCenter_ui_35</v>
          </cell>
          <cell r="C66"/>
        </row>
        <row r="67">
          <cell r="A67" t="str">
            <v>WelfareCenter_ui_36</v>
          </cell>
          <cell r="C67"/>
        </row>
        <row r="68">
          <cell r="A68" t="str">
            <v>WelfareCenter_ui_37</v>
          </cell>
          <cell r="C68"/>
        </row>
        <row r="69">
          <cell r="A69" t="str">
            <v>WelfareCenter_ui_38</v>
          </cell>
          <cell r="C69"/>
        </row>
        <row r="70">
          <cell r="A70" t="str">
            <v>WelfareCenter_ui_39</v>
          </cell>
          <cell r="C70"/>
        </row>
        <row r="71">
          <cell r="A71" t="str">
            <v>WelfareCenter_ui_40</v>
          </cell>
          <cell r="C71"/>
        </row>
        <row r="72">
          <cell r="A72" t="str">
            <v>WelfareCenter_ui_41</v>
          </cell>
          <cell r="C72"/>
        </row>
        <row r="73">
          <cell r="A73" t="str">
            <v>WelfareCenter_ui_42</v>
          </cell>
          <cell r="C73"/>
        </row>
        <row r="74">
          <cell r="A74" t="str">
            <v>WelfareCenter_ui_43</v>
          </cell>
          <cell r="C74"/>
        </row>
        <row r="75">
          <cell r="A75" t="str">
            <v>welfaretask_desc_5900001</v>
          </cell>
          <cell r="C75"/>
        </row>
        <row r="76">
          <cell r="A76" t="str">
            <v>welfaretask_desc_5900002</v>
          </cell>
          <cell r="C76"/>
        </row>
        <row r="77">
          <cell r="A77" t="str">
            <v>welfaretask_desc_5900003</v>
          </cell>
          <cell r="C77"/>
        </row>
        <row r="78">
          <cell r="A78" t="str">
            <v>welfaretask_desc_5900004</v>
          </cell>
          <cell r="C78"/>
        </row>
        <row r="79">
          <cell r="A79" t="str">
            <v>welfaretask_desc_5900005</v>
          </cell>
          <cell r="C79"/>
        </row>
        <row r="80">
          <cell r="A80" t="str">
            <v>welfaretask_desc_5900006</v>
          </cell>
          <cell r="C80"/>
        </row>
        <row r="81">
          <cell r="A81" t="str">
            <v>welfaretask_desc_5900007</v>
          </cell>
          <cell r="C81"/>
        </row>
        <row r="82">
          <cell r="A82" t="str">
            <v>welfaretask_desc_5900008</v>
          </cell>
          <cell r="C82"/>
        </row>
        <row r="83">
          <cell r="A83" t="str">
            <v>welfaretask_desc_5900009</v>
          </cell>
          <cell r="C83"/>
        </row>
        <row r="84">
          <cell r="A84" t="str">
            <v>welfaretask_desc_5900010</v>
          </cell>
          <cell r="C84"/>
        </row>
        <row r="85">
          <cell r="A85" t="str">
            <v>welfaretask_desc_5900011</v>
          </cell>
          <cell r="C85"/>
        </row>
        <row r="86">
          <cell r="A86" t="str">
            <v>welfaretask_desc_5900012</v>
          </cell>
          <cell r="C86"/>
        </row>
        <row r="87">
          <cell r="A87" t="str">
            <v>welfaretask_desc_5900013</v>
          </cell>
          <cell r="C87"/>
        </row>
        <row r="88">
          <cell r="A88" t="str">
            <v>welfaretask_desc_5900014</v>
          </cell>
          <cell r="C88"/>
        </row>
        <row r="89">
          <cell r="A89" t="str">
            <v>welfaretask_desc_5900015</v>
          </cell>
          <cell r="C89"/>
        </row>
        <row r="90">
          <cell r="A90" t="str">
            <v>welfaretask_desc_5900016</v>
          </cell>
          <cell r="C90"/>
        </row>
        <row r="91">
          <cell r="A91" t="str">
            <v>welfaretask_desc_5900017</v>
          </cell>
          <cell r="C91"/>
        </row>
        <row r="92">
          <cell r="A92" t="str">
            <v>welfaretask_desc_5900018</v>
          </cell>
          <cell r="C92"/>
        </row>
        <row r="93">
          <cell r="A93" t="str">
            <v>welfaretask_desc_5900019</v>
          </cell>
          <cell r="C93"/>
        </row>
        <row r="94">
          <cell r="A94" t="str">
            <v>welfaretask_desc_5900020</v>
          </cell>
          <cell r="C94"/>
        </row>
        <row r="95">
          <cell r="A95" t="str">
            <v>welfaretask_desc_5900021</v>
          </cell>
          <cell r="C95"/>
        </row>
        <row r="96">
          <cell r="A96" t="str">
            <v>welfaretask_desc_5900022</v>
          </cell>
          <cell r="C96"/>
        </row>
        <row r="97">
          <cell r="A97" t="str">
            <v>welfaretask_desc_5900023</v>
          </cell>
          <cell r="C97"/>
        </row>
        <row r="98">
          <cell r="A98" t="str">
            <v>welfaretask_desc_5900024</v>
          </cell>
          <cell r="C98"/>
        </row>
        <row r="99">
          <cell r="A99" t="str">
            <v>welfaretask_desc_5900025</v>
          </cell>
          <cell r="C99"/>
        </row>
        <row r="100">
          <cell r="A100" t="str">
            <v>welfaretask_desc_5900026</v>
          </cell>
          <cell r="C100"/>
        </row>
        <row r="101">
          <cell r="A101" t="str">
            <v>welfaretask_desc_5900027</v>
          </cell>
          <cell r="C101"/>
        </row>
        <row r="102">
          <cell r="A102" t="str">
            <v>welfaretask_desc_5900028</v>
          </cell>
          <cell r="C102"/>
        </row>
        <row r="103">
          <cell r="A103" t="str">
            <v>welfaretask_desc_5900029</v>
          </cell>
          <cell r="C103"/>
        </row>
        <row r="104">
          <cell r="A104" t="str">
            <v>welfaretask_desc_5900030</v>
          </cell>
          <cell r="C104"/>
        </row>
        <row r="105">
          <cell r="A105" t="str">
            <v>welfaretask_desc_5900031</v>
          </cell>
          <cell r="C105"/>
        </row>
        <row r="106">
          <cell r="A106" t="str">
            <v>welfaretask_desc_5900032</v>
          </cell>
          <cell r="C106"/>
        </row>
        <row r="107">
          <cell r="A107" t="str">
            <v>welfaretask_desc_5900033</v>
          </cell>
          <cell r="C107"/>
        </row>
        <row r="108">
          <cell r="A108" t="str">
            <v>welfaretask_desc_5900034</v>
          </cell>
          <cell r="C108"/>
        </row>
        <row r="109">
          <cell r="A109" t="str">
            <v>welfaretask_desc_5900035</v>
          </cell>
          <cell r="C109"/>
        </row>
        <row r="110">
          <cell r="A110" t="str">
            <v>welfaretask_desc_5900036</v>
          </cell>
          <cell r="C110"/>
        </row>
        <row r="111">
          <cell r="A111" t="str">
            <v>welfaretask_desc_5900037</v>
          </cell>
          <cell r="C111"/>
        </row>
        <row r="112">
          <cell r="A112" t="str">
            <v>welfaretask_desc_5900038</v>
          </cell>
          <cell r="C112"/>
        </row>
        <row r="113">
          <cell r="A113" t="str">
            <v>welfaretask_desc_5900039</v>
          </cell>
          <cell r="C113"/>
        </row>
        <row r="114">
          <cell r="A114" t="str">
            <v>welfaretask_desc_5900040</v>
          </cell>
          <cell r="C114"/>
        </row>
        <row r="115">
          <cell r="A115" t="str">
            <v>welfaretask_desc_5900041</v>
          </cell>
          <cell r="C115"/>
        </row>
        <row r="116">
          <cell r="A116" t="str">
            <v>welfaretask_desc_5900042</v>
          </cell>
          <cell r="C116"/>
        </row>
        <row r="117">
          <cell r="A117" t="str">
            <v>welfaretask_desc_5900043</v>
          </cell>
          <cell r="C117"/>
        </row>
        <row r="118">
          <cell r="A118" t="str">
            <v>welfaretask_desc_5900044</v>
          </cell>
          <cell r="C118"/>
        </row>
        <row r="119">
          <cell r="A119" t="str">
            <v>welfaretask_desc_5900045</v>
          </cell>
          <cell r="C119"/>
        </row>
        <row r="120">
          <cell r="A120" t="str">
            <v>welfaretask_desc_5900046</v>
          </cell>
          <cell r="C120"/>
        </row>
        <row r="121">
          <cell r="A121" t="str">
            <v>welfaretask_desc_5900047</v>
          </cell>
          <cell r="C121"/>
        </row>
        <row r="122">
          <cell r="A122" t="str">
            <v>welfaretask_desc_5900048</v>
          </cell>
          <cell r="C122"/>
        </row>
        <row r="123">
          <cell r="A123" t="str">
            <v>welfaretask_desc_5900049</v>
          </cell>
          <cell r="C123"/>
        </row>
        <row r="124">
          <cell r="A124" t="str">
            <v>welfaretask_desc_5900050</v>
          </cell>
          <cell r="C124"/>
        </row>
        <row r="125">
          <cell r="A125" t="str">
            <v>welfaretask_desc_5900051</v>
          </cell>
          <cell r="C125"/>
        </row>
        <row r="126">
          <cell r="A126" t="str">
            <v>welfaretask_desc_5900052</v>
          </cell>
          <cell r="C126"/>
        </row>
        <row r="127">
          <cell r="A127" t="str">
            <v>welfaretask_desc_5900053</v>
          </cell>
          <cell r="C127"/>
        </row>
        <row r="128">
          <cell r="A128" t="str">
            <v>welfaretask_desc_5900054</v>
          </cell>
          <cell r="C128"/>
        </row>
        <row r="129">
          <cell r="A129" t="str">
            <v>welfaretask_desc_5900055</v>
          </cell>
          <cell r="C129"/>
        </row>
        <row r="130">
          <cell r="A130" t="str">
            <v>welfaretask_desc_5900056</v>
          </cell>
          <cell r="C130"/>
        </row>
        <row r="131">
          <cell r="A131" t="str">
            <v>welfaretask_desc_5900057</v>
          </cell>
          <cell r="C131"/>
        </row>
        <row r="132">
          <cell r="A132" t="str">
            <v>welfaretask_desc_5900058</v>
          </cell>
          <cell r="C132"/>
        </row>
        <row r="133">
          <cell r="A133" t="str">
            <v>welfaretask_desc_5900059</v>
          </cell>
          <cell r="C133"/>
        </row>
        <row r="134">
          <cell r="A134" t="str">
            <v>welfaretask_desc_5900060</v>
          </cell>
          <cell r="C134"/>
        </row>
        <row r="135">
          <cell r="A135" t="str">
            <v>welfaretask_desc_5900061</v>
          </cell>
          <cell r="C135"/>
        </row>
        <row r="136">
          <cell r="A136" t="str">
            <v>welfaretask_desc_5900062</v>
          </cell>
          <cell r="C136"/>
        </row>
        <row r="137">
          <cell r="A137" t="str">
            <v>welfaretask_desc_5900063</v>
          </cell>
          <cell r="C137"/>
        </row>
        <row r="138">
          <cell r="A138" t="str">
            <v>welfaretask_desc_5900064</v>
          </cell>
          <cell r="C138"/>
        </row>
        <row r="139">
          <cell r="A139" t="str">
            <v>welfaretask_desc_5900065</v>
          </cell>
          <cell r="C139"/>
        </row>
        <row r="140">
          <cell r="A140" t="str">
            <v>welfaretask_desc_5900066</v>
          </cell>
          <cell r="C140"/>
        </row>
        <row r="141">
          <cell r="A141" t="str">
            <v>welfaretask_desc_5900067</v>
          </cell>
          <cell r="C141"/>
        </row>
        <row r="142">
          <cell r="A142" t="str">
            <v>welfaretask_desc_5900068</v>
          </cell>
          <cell r="C142"/>
        </row>
        <row r="143">
          <cell r="A143" t="str">
            <v>welfaretask_desc_5900069</v>
          </cell>
          <cell r="C143"/>
        </row>
        <row r="144">
          <cell r="A144" t="str">
            <v>welfaretask_desc_5900070</v>
          </cell>
          <cell r="C144"/>
        </row>
        <row r="145">
          <cell r="A145" t="str">
            <v>welfaretask_desc_5900071</v>
          </cell>
          <cell r="C145"/>
        </row>
        <row r="146">
          <cell r="A146" t="str">
            <v>welfaretask_desc_5900072</v>
          </cell>
          <cell r="C146"/>
        </row>
        <row r="147">
          <cell r="A147" t="str">
            <v>welfaretask_desc_5900073</v>
          </cell>
          <cell r="C147"/>
        </row>
        <row r="148">
          <cell r="A148" t="str">
            <v>welfaretask_desc_5900074</v>
          </cell>
          <cell r="C148"/>
        </row>
        <row r="149">
          <cell r="A149" t="str">
            <v>welfaretask_desc_5900075</v>
          </cell>
          <cell r="C149"/>
        </row>
        <row r="150">
          <cell r="A150" t="str">
            <v>welfaretask_desc_5900076</v>
          </cell>
          <cell r="C150"/>
        </row>
        <row r="151">
          <cell r="A151" t="str">
            <v>welfaretask_desc_5900077</v>
          </cell>
          <cell r="C151"/>
        </row>
        <row r="152">
          <cell r="A152" t="str">
            <v>welfaretask_desc_5900078</v>
          </cell>
          <cell r="C152"/>
        </row>
        <row r="153">
          <cell r="A153" t="str">
            <v>welfaretask_desc_5900079</v>
          </cell>
          <cell r="C153"/>
        </row>
        <row r="154">
          <cell r="A154" t="str">
            <v>welfaretask_desc_5900080</v>
          </cell>
          <cell r="C154"/>
        </row>
        <row r="155">
          <cell r="A155" t="str">
            <v>welfaretask_desc_5900081</v>
          </cell>
          <cell r="C155"/>
        </row>
        <row r="156">
          <cell r="A156" t="str">
            <v>welfaretask_desc_5900082</v>
          </cell>
          <cell r="C156"/>
        </row>
        <row r="157">
          <cell r="A157" t="str">
            <v>welfaretask_desc_5900083</v>
          </cell>
          <cell r="C157"/>
        </row>
        <row r="158">
          <cell r="A158" t="str">
            <v>welfaretask_desc_5900084</v>
          </cell>
          <cell r="C158"/>
        </row>
        <row r="159">
          <cell r="A159" t="str">
            <v>welfaretask_desc_5900085</v>
          </cell>
          <cell r="C159"/>
        </row>
        <row r="160">
          <cell r="A160" t="str">
            <v>welfaretask_desc_5900086</v>
          </cell>
          <cell r="C160"/>
        </row>
        <row r="161">
          <cell r="A161" t="str">
            <v>welfaretask_desc_5900087</v>
          </cell>
          <cell r="C161"/>
        </row>
        <row r="162">
          <cell r="A162" t="str">
            <v>welfaretask_desc_5900088</v>
          </cell>
          <cell r="C162"/>
        </row>
        <row r="163">
          <cell r="A163" t="str">
            <v>welfaretask_desc_5900089</v>
          </cell>
          <cell r="C163"/>
        </row>
        <row r="164">
          <cell r="A164" t="str">
            <v>welfaretask_desc_5900090</v>
          </cell>
          <cell r="C164"/>
        </row>
        <row r="165">
          <cell r="A165" t="str">
            <v>welfaretask_desc_5900091</v>
          </cell>
          <cell r="C165"/>
        </row>
        <row r="166">
          <cell r="A166" t="str">
            <v>welfaretask_desc_5900092</v>
          </cell>
          <cell r="C166"/>
        </row>
        <row r="167">
          <cell r="A167" t="str">
            <v>welfaretask_desc_5900093</v>
          </cell>
          <cell r="C167"/>
        </row>
        <row r="168">
          <cell r="A168" t="str">
            <v>welfaretask_desc_5900094</v>
          </cell>
          <cell r="C168"/>
        </row>
        <row r="169">
          <cell r="A169" t="str">
            <v>piont_welfaretask_5990001</v>
          </cell>
          <cell r="C169"/>
        </row>
        <row r="170">
          <cell r="A170" t="str">
            <v>piont_welfaretask_5990002</v>
          </cell>
          <cell r="C170"/>
        </row>
        <row r="171">
          <cell r="A171" t="str">
            <v>piont_welfaretask_5990003</v>
          </cell>
          <cell r="C171"/>
        </row>
        <row r="172">
          <cell r="A172" t="str">
            <v>piont_welfaretask_5990004</v>
          </cell>
          <cell r="C172"/>
        </row>
        <row r="173">
          <cell r="A173" t="str">
            <v>piont_welfaretask_5990005</v>
          </cell>
          <cell r="C173"/>
        </row>
        <row r="174">
          <cell r="A174" t="str">
            <v>piont_welfaretask_5990006</v>
          </cell>
          <cell r="C174"/>
        </row>
        <row r="175">
          <cell r="A175" t="str">
            <v>piont_welfaretask_5990011</v>
          </cell>
          <cell r="C175"/>
        </row>
        <row r="176">
          <cell r="A176" t="str">
            <v>piont_welfaretask_5990012</v>
          </cell>
          <cell r="C176"/>
        </row>
        <row r="177">
          <cell r="A177" t="str">
            <v>piont_welfaretask_5990013</v>
          </cell>
          <cell r="C177"/>
        </row>
        <row r="178">
          <cell r="A178" t="str">
            <v>piont_welfaretask_5990014</v>
          </cell>
          <cell r="C178"/>
        </row>
        <row r="179">
          <cell r="A179" t="str">
            <v>piont_welfaretask_5990015</v>
          </cell>
          <cell r="C179"/>
        </row>
        <row r="180">
          <cell r="A180" t="str">
            <v>piont_welfaretask_5990016</v>
          </cell>
          <cell r="C180"/>
        </row>
        <row r="181">
          <cell r="A181" t="str">
            <v>piont_welfaretask_5990021</v>
          </cell>
          <cell r="C181"/>
        </row>
        <row r="182">
          <cell r="A182" t="str">
            <v>piont_welfaretask_5990022</v>
          </cell>
          <cell r="C182"/>
        </row>
        <row r="183">
          <cell r="A183" t="str">
            <v>piont_welfaretask_5990023</v>
          </cell>
          <cell r="C183"/>
        </row>
        <row r="184">
          <cell r="A184" t="str">
            <v>piont_welfaretask_5990024</v>
          </cell>
          <cell r="C184"/>
        </row>
        <row r="185">
          <cell r="A185" t="str">
            <v>piont_welfaretask_5990025</v>
          </cell>
          <cell r="C185"/>
        </row>
        <row r="186">
          <cell r="A186" t="str">
            <v>piont_welfaretask_5990026</v>
          </cell>
          <cell r="C186"/>
        </row>
        <row r="187">
          <cell r="A187" t="str">
            <v>hero_call_desc_1</v>
          </cell>
          <cell r="C187"/>
        </row>
        <row r="188">
          <cell r="A188" t="str">
            <v>hero_call_desc_2</v>
          </cell>
          <cell r="C188"/>
        </row>
        <row r="189">
          <cell r="A189" t="str">
            <v>hero_call_desc_3</v>
          </cell>
          <cell r="C189"/>
        </row>
        <row r="190">
          <cell r="A190" t="str">
            <v>hero_call_desc_4</v>
          </cell>
          <cell r="C190"/>
        </row>
        <row r="191">
          <cell r="A191" t="str">
            <v>hero_call_desc_5</v>
          </cell>
          <cell r="C191"/>
        </row>
        <row r="192">
          <cell r="A192" t="str">
            <v>hero_call_desc_6</v>
          </cell>
          <cell r="C192"/>
        </row>
        <row r="193">
          <cell r="A193" t="str">
            <v>hero_call_desc_7</v>
          </cell>
          <cell r="C193"/>
        </row>
        <row r="194">
          <cell r="A194" t="str">
            <v>overall_develop_desc_1</v>
          </cell>
          <cell r="C194"/>
        </row>
        <row r="195">
          <cell r="A195" t="str">
            <v>overall_develop_desc_2</v>
          </cell>
          <cell r="C195"/>
        </row>
        <row r="196">
          <cell r="A196" t="str">
            <v>hero_call_points_desc_1</v>
          </cell>
          <cell r="C196"/>
        </row>
        <row r="197">
          <cell r="A197" t="str">
            <v>hero_call_points_desc_2</v>
          </cell>
          <cell r="C197"/>
        </row>
        <row r="198">
          <cell r="A198" t="str">
            <v>hero_call_points_desc_3</v>
          </cell>
          <cell r="C198"/>
        </row>
        <row r="199">
          <cell r="A199" t="str">
            <v>hero_call_points_desc_4</v>
          </cell>
          <cell r="C199"/>
        </row>
        <row r="200">
          <cell r="A200" t="str">
            <v>hero_call_points_desc_5</v>
          </cell>
          <cell r="C200"/>
        </row>
        <row r="201">
          <cell r="A201" t="str">
            <v>hero_call_points_desc_6</v>
          </cell>
          <cell r="C201"/>
        </row>
        <row r="202">
          <cell r="A202" t="str">
            <v>hero_call_points_desc_7</v>
          </cell>
          <cell r="C202"/>
        </row>
        <row r="203">
          <cell r="A203" t="str">
            <v>overall_develop_points_desc_1</v>
          </cell>
          <cell r="C203"/>
        </row>
        <row r="204">
          <cell r="A204" t="str">
            <v>overall_develop_points_desc_2</v>
          </cell>
          <cell r="C204"/>
        </row>
        <row r="205">
          <cell r="A205" t="str">
            <v>Acticity_name_01</v>
          </cell>
          <cell r="C205"/>
        </row>
        <row r="206">
          <cell r="A206" t="str">
            <v>Acticity_name_02</v>
          </cell>
          <cell r="C206"/>
        </row>
        <row r="207">
          <cell r="A207" t="str">
            <v>Acticity_name_03</v>
          </cell>
          <cell r="C207"/>
        </row>
        <row r="208">
          <cell r="A208" t="str">
            <v>Acticity_name_04</v>
          </cell>
          <cell r="C208"/>
        </row>
        <row r="209">
          <cell r="A209" t="str">
            <v>Activity_UI_20001</v>
          </cell>
          <cell r="C209"/>
        </row>
        <row r="210">
          <cell r="A210" t="str">
            <v>Activity_UI_20002</v>
          </cell>
          <cell r="C210"/>
        </row>
        <row r="211">
          <cell r="A211" t="str">
            <v>Activity_UI_20003</v>
          </cell>
          <cell r="C211"/>
        </row>
        <row r="212">
          <cell r="A212" t="str">
            <v>Activity_UI_20004</v>
          </cell>
          <cell r="C212"/>
        </row>
        <row r="213">
          <cell r="A213" t="str">
            <v>Activity01_UI_01</v>
          </cell>
          <cell r="C213"/>
        </row>
        <row r="214">
          <cell r="A214" t="str">
            <v>Activity01_UI_02</v>
          </cell>
          <cell r="C214"/>
        </row>
        <row r="215">
          <cell r="A215" t="str">
            <v>Activity01_UI_03</v>
          </cell>
          <cell r="C215"/>
        </row>
        <row r="216">
          <cell r="A216" t="str">
            <v>Activity01_UI_04</v>
          </cell>
          <cell r="C216"/>
        </row>
        <row r="217">
          <cell r="A217" t="str">
            <v>Activity01_UI_05</v>
          </cell>
          <cell r="C217"/>
        </row>
        <row r="218">
          <cell r="A218" t="str">
            <v>Activity01_UI_06</v>
          </cell>
          <cell r="C218"/>
        </row>
        <row r="219">
          <cell r="A219" t="str">
            <v>Activity01_UI_07</v>
          </cell>
          <cell r="C219"/>
        </row>
        <row r="220">
          <cell r="A220" t="str">
            <v>Activity01_UI_08</v>
          </cell>
          <cell r="C220"/>
        </row>
        <row r="221">
          <cell r="A221" t="str">
            <v>Activity01_UI_09</v>
          </cell>
          <cell r="C221"/>
        </row>
        <row r="222">
          <cell r="A222" t="str">
            <v>Activity01_UI_10</v>
          </cell>
          <cell r="C222"/>
        </row>
        <row r="223">
          <cell r="A223" t="str">
            <v>Activity01_UI_11</v>
          </cell>
          <cell r="C223"/>
        </row>
        <row r="224">
          <cell r="A224" t="str">
            <v>Activity01_UI_12</v>
          </cell>
          <cell r="C224"/>
        </row>
        <row r="225">
          <cell r="A225" t="str">
            <v>Activity01_UI_13</v>
          </cell>
          <cell r="C225"/>
        </row>
        <row r="226">
          <cell r="A226" t="str">
            <v>Activity01_UI_14</v>
          </cell>
          <cell r="C226"/>
        </row>
        <row r="227">
          <cell r="A227" t="str">
            <v>Activity01_UI_15</v>
          </cell>
          <cell r="C227"/>
        </row>
        <row r="228">
          <cell r="A228" t="str">
            <v>Activity01_UI_16</v>
          </cell>
          <cell r="C228"/>
        </row>
        <row r="229">
          <cell r="A229" t="str">
            <v>Activity01_UI_17</v>
          </cell>
          <cell r="C229"/>
        </row>
        <row r="230">
          <cell r="A230" t="str">
            <v>Activity01_UI_18</v>
          </cell>
          <cell r="C230"/>
        </row>
        <row r="231">
          <cell r="A231" t="str">
            <v>Activity01_UI_19</v>
          </cell>
          <cell r="C231"/>
        </row>
        <row r="232">
          <cell r="A232" t="str">
            <v>Activity01_UI_20</v>
          </cell>
          <cell r="C232"/>
        </row>
        <row r="233">
          <cell r="A233" t="str">
            <v>Activity01_UI_21</v>
          </cell>
          <cell r="C233"/>
        </row>
        <row r="234">
          <cell r="A234" t="str">
            <v>Activity01_UI_22</v>
          </cell>
          <cell r="C234"/>
        </row>
        <row r="235">
          <cell r="A235" t="str">
            <v>Activity01_UI_23</v>
          </cell>
          <cell r="C235"/>
        </row>
        <row r="236">
          <cell r="A236" t="str">
            <v>Activity01_UI_24</v>
          </cell>
          <cell r="C236"/>
        </row>
        <row r="237">
          <cell r="A237" t="str">
            <v>Activity01_UI_25</v>
          </cell>
          <cell r="C237"/>
        </row>
        <row r="238">
          <cell r="A238" t="str">
            <v>Activity01_UI_26</v>
          </cell>
          <cell r="C238"/>
        </row>
        <row r="239">
          <cell r="A239" t="str">
            <v>Activity01_UI_27</v>
          </cell>
          <cell r="C239"/>
        </row>
        <row r="240">
          <cell r="A240" t="str">
            <v>Activity01_UI_28</v>
          </cell>
          <cell r="C240"/>
        </row>
        <row r="241">
          <cell r="A241" t="str">
            <v>Activity01_UI_29</v>
          </cell>
          <cell r="C241"/>
        </row>
        <row r="242">
          <cell r="A242" t="str">
            <v>Activity01_UI_30</v>
          </cell>
          <cell r="C242"/>
        </row>
        <row r="243">
          <cell r="A243" t="str">
            <v>Activity01_UI_31</v>
          </cell>
          <cell r="C243"/>
        </row>
        <row r="244">
          <cell r="A244" t="str">
            <v>Activity01_UI_32</v>
          </cell>
          <cell r="C244"/>
        </row>
        <row r="245">
          <cell r="A245" t="str">
            <v>Activity01_UI_33</v>
          </cell>
          <cell r="C245"/>
        </row>
        <row r="246">
          <cell r="A246" t="str">
            <v>Activity01_UI_34</v>
          </cell>
          <cell r="C246"/>
        </row>
        <row r="247">
          <cell r="A247" t="str">
            <v>Activity01_UI_35</v>
          </cell>
          <cell r="C247"/>
        </row>
        <row r="248">
          <cell r="A248" t="str">
            <v>Activity01_UI_36</v>
          </cell>
          <cell r="C248"/>
        </row>
        <row r="249">
          <cell r="A249" t="str">
            <v>Activity01_UI_37</v>
          </cell>
          <cell r="C249"/>
        </row>
        <row r="250">
          <cell r="A250" t="str">
            <v>Activity01_UI_38</v>
          </cell>
          <cell r="C250"/>
        </row>
        <row r="251">
          <cell r="A251" t="str">
            <v>Activity01_UI_39</v>
          </cell>
          <cell r="C251"/>
        </row>
        <row r="252">
          <cell r="A252" t="str">
            <v>Activity01_UI_40</v>
          </cell>
          <cell r="C252"/>
        </row>
        <row r="253">
          <cell r="A253" t="str">
            <v>Activity01_UI_41</v>
          </cell>
          <cell r="C253"/>
        </row>
        <row r="254">
          <cell r="A254" t="str">
            <v>Activity01_UI_42</v>
          </cell>
          <cell r="C254"/>
        </row>
        <row r="255">
          <cell r="A255" t="str">
            <v>Activity01_UI_43</v>
          </cell>
          <cell r="C255"/>
        </row>
        <row r="256">
          <cell r="A256" t="str">
            <v>week_i18n_1</v>
          </cell>
          <cell r="C256"/>
        </row>
        <row r="257">
          <cell r="A257" t="str">
            <v>week_i18n_2</v>
          </cell>
          <cell r="C257"/>
        </row>
        <row r="258">
          <cell r="A258" t="str">
            <v>week_i18n_3</v>
          </cell>
          <cell r="C258"/>
        </row>
        <row r="259">
          <cell r="A259" t="str">
            <v>week_i18n_4</v>
          </cell>
          <cell r="C259"/>
        </row>
        <row r="260">
          <cell r="A260" t="str">
            <v>week_i18n_5</v>
          </cell>
          <cell r="C260"/>
        </row>
        <row r="261">
          <cell r="A261" t="str">
            <v>tab_desc_5600111</v>
          </cell>
          <cell r="C261"/>
        </row>
        <row r="262">
          <cell r="A262" t="str">
            <v>tab_desc_5600121</v>
          </cell>
          <cell r="C262"/>
        </row>
        <row r="263">
          <cell r="A263" t="str">
            <v>tab_desc_5600131</v>
          </cell>
          <cell r="C263"/>
        </row>
        <row r="264">
          <cell r="A264" t="str">
            <v>tab_desc_5600211</v>
          </cell>
          <cell r="C264"/>
        </row>
        <row r="265">
          <cell r="A265" t="str">
            <v>tab_desc_5600221</v>
          </cell>
          <cell r="C265"/>
        </row>
        <row r="266">
          <cell r="A266" t="str">
            <v>tab_desc_5600231</v>
          </cell>
          <cell r="C266"/>
        </row>
        <row r="267">
          <cell r="A267" t="str">
            <v>tab_desc_5600311</v>
          </cell>
          <cell r="C267"/>
        </row>
        <row r="268">
          <cell r="A268" t="str">
            <v>tab_desc_5600321</v>
          </cell>
          <cell r="C268"/>
        </row>
        <row r="269">
          <cell r="A269" t="str">
            <v>tab_desc_5600331</v>
          </cell>
          <cell r="C269"/>
        </row>
        <row r="270">
          <cell r="A270" t="str">
            <v>tab_desc_5600411</v>
          </cell>
          <cell r="C270"/>
        </row>
        <row r="271">
          <cell r="A271" t="str">
            <v>tab_desc_5600421</v>
          </cell>
          <cell r="C271"/>
        </row>
        <row r="272">
          <cell r="A272" t="str">
            <v>tab_desc_5600431</v>
          </cell>
          <cell r="C272"/>
        </row>
        <row r="273">
          <cell r="A273" t="str">
            <v>tab_desc_5600511</v>
          </cell>
          <cell r="C273"/>
        </row>
        <row r="274">
          <cell r="A274" t="str">
            <v>tab_desc_5600521</v>
          </cell>
          <cell r="C274"/>
        </row>
        <row r="275">
          <cell r="A275" t="str">
            <v>tab_desc_5600531</v>
          </cell>
          <cell r="C275"/>
        </row>
        <row r="276">
          <cell r="A276" t="str">
            <v>trans_i18n_5600111</v>
          </cell>
          <cell r="C276"/>
        </row>
        <row r="277">
          <cell r="A277" t="str">
            <v>trans_i18n_5600112</v>
          </cell>
          <cell r="C277"/>
        </row>
        <row r="278">
          <cell r="A278" t="str">
            <v>trans_i18n_5600113</v>
          </cell>
          <cell r="C278"/>
        </row>
        <row r="279">
          <cell r="A279" t="str">
            <v>trans_i18n_5600114</v>
          </cell>
          <cell r="C279"/>
        </row>
        <row r="280">
          <cell r="A280" t="str">
            <v>trans_i18n_5600115</v>
          </cell>
          <cell r="C280"/>
        </row>
        <row r="281">
          <cell r="A281" t="str">
            <v>trans_i18n_5600121</v>
          </cell>
          <cell r="C281"/>
        </row>
        <row r="282">
          <cell r="A282" t="str">
            <v>trans_i18n_5600122</v>
          </cell>
          <cell r="C282"/>
        </row>
        <row r="283">
          <cell r="A283" t="str">
            <v>trans_i18n_5600123</v>
          </cell>
          <cell r="C283"/>
        </row>
        <row r="284">
          <cell r="A284" t="str">
            <v>trans_i18n_5600124</v>
          </cell>
          <cell r="C284"/>
        </row>
        <row r="285">
          <cell r="A285" t="str">
            <v>trans_i18n_5600125</v>
          </cell>
          <cell r="C285"/>
        </row>
        <row r="286">
          <cell r="A286" t="str">
            <v>trans_i18n_5600126</v>
          </cell>
          <cell r="C286"/>
        </row>
        <row r="287">
          <cell r="A287" t="str">
            <v>trans_i18n_5600127</v>
          </cell>
          <cell r="C287"/>
        </row>
        <row r="288">
          <cell r="A288" t="str">
            <v>trans_i18n_5600131</v>
          </cell>
          <cell r="C288"/>
        </row>
        <row r="289">
          <cell r="A289" t="str">
            <v>trans_i18n_5600132</v>
          </cell>
          <cell r="C289"/>
        </row>
        <row r="290">
          <cell r="A290" t="str">
            <v>trans_i18n_5600133</v>
          </cell>
          <cell r="C290"/>
        </row>
        <row r="291">
          <cell r="A291" t="str">
            <v>trans_i18n_5600134</v>
          </cell>
          <cell r="C291"/>
        </row>
        <row r="292">
          <cell r="A292" t="str">
            <v>trans_i18n_5600135</v>
          </cell>
          <cell r="C292"/>
        </row>
        <row r="293">
          <cell r="A293" t="str">
            <v>trans_i18n_5600136</v>
          </cell>
          <cell r="C293"/>
        </row>
        <row r="294">
          <cell r="A294" t="str">
            <v>trans_i18n_5600211</v>
          </cell>
          <cell r="C294"/>
        </row>
        <row r="295">
          <cell r="A295" t="str">
            <v>trans_i18n_5600212</v>
          </cell>
          <cell r="C295"/>
        </row>
        <row r="296">
          <cell r="A296" t="str">
            <v>trans_i18n_5600213</v>
          </cell>
          <cell r="C296"/>
        </row>
        <row r="297">
          <cell r="A297" t="str">
            <v>trans_i18n_5600214</v>
          </cell>
          <cell r="C297"/>
        </row>
        <row r="298">
          <cell r="A298" t="str">
            <v>trans_i18n_5600215</v>
          </cell>
          <cell r="C298"/>
        </row>
        <row r="299">
          <cell r="A299" t="str">
            <v>trans_i18n_5600216</v>
          </cell>
          <cell r="C299"/>
        </row>
        <row r="300">
          <cell r="A300" t="str">
            <v>trans_i18n_5600217</v>
          </cell>
          <cell r="C300"/>
        </row>
        <row r="301">
          <cell r="A301" t="str">
            <v>trans_i18n_5600221</v>
          </cell>
          <cell r="C301"/>
        </row>
        <row r="302">
          <cell r="A302" t="str">
            <v>trans_i18n_5600222</v>
          </cell>
          <cell r="C302"/>
        </row>
        <row r="303">
          <cell r="A303" t="str">
            <v>trans_i18n_5600223</v>
          </cell>
          <cell r="C303"/>
        </row>
        <row r="304">
          <cell r="A304" t="str">
            <v>trans_i18n_5600224</v>
          </cell>
          <cell r="C304"/>
        </row>
        <row r="305">
          <cell r="A305" t="str">
            <v>trans_i18n_5600225</v>
          </cell>
          <cell r="C305"/>
        </row>
        <row r="306">
          <cell r="A306" t="str">
            <v>trans_i18n_5600226</v>
          </cell>
          <cell r="C306"/>
        </row>
        <row r="307">
          <cell r="A307" t="str">
            <v>trans_i18n_5600227</v>
          </cell>
          <cell r="C307"/>
        </row>
        <row r="308">
          <cell r="A308" t="str">
            <v>trans_i18n_5600228</v>
          </cell>
          <cell r="C308"/>
        </row>
        <row r="309">
          <cell r="A309" t="str">
            <v>trans_i18n_5600231</v>
          </cell>
          <cell r="C309"/>
        </row>
        <row r="310">
          <cell r="A310" t="str">
            <v>trans_i18n_5600232</v>
          </cell>
          <cell r="C310"/>
        </row>
        <row r="311">
          <cell r="A311" t="str">
            <v>trans_i18n_5600233</v>
          </cell>
          <cell r="C311"/>
        </row>
        <row r="312">
          <cell r="A312" t="str">
            <v>trans_i18n_5600234</v>
          </cell>
          <cell r="C312"/>
        </row>
        <row r="313">
          <cell r="A313" t="str">
            <v>trans_i18n_5600235</v>
          </cell>
          <cell r="C313"/>
        </row>
        <row r="314">
          <cell r="A314" t="str">
            <v>trans_i18n_5600236</v>
          </cell>
          <cell r="C314"/>
        </row>
        <row r="315">
          <cell r="A315" t="str">
            <v>trans_i18n_5600237</v>
          </cell>
          <cell r="C315"/>
        </row>
        <row r="316">
          <cell r="A316" t="str">
            <v>trans_i18n_5600311</v>
          </cell>
          <cell r="C316"/>
        </row>
        <row r="317">
          <cell r="A317" t="str">
            <v>trans_i18n_5600312</v>
          </cell>
          <cell r="C317"/>
        </row>
        <row r="318">
          <cell r="A318" t="str">
            <v>trans_i18n_5600313</v>
          </cell>
          <cell r="C318"/>
        </row>
        <row r="319">
          <cell r="A319" t="str">
            <v>trans_i18n_5600314</v>
          </cell>
          <cell r="C319"/>
        </row>
        <row r="320">
          <cell r="A320" t="str">
            <v>trans_i18n_5600315</v>
          </cell>
          <cell r="C320"/>
        </row>
        <row r="321">
          <cell r="A321" t="str">
            <v>trans_i18n_5600316</v>
          </cell>
          <cell r="C321"/>
        </row>
        <row r="322">
          <cell r="A322" t="str">
            <v>trans_i18n_5600321</v>
          </cell>
          <cell r="C322"/>
        </row>
        <row r="323">
          <cell r="A323" t="str">
            <v>trans_i18n_5600322</v>
          </cell>
          <cell r="C323"/>
        </row>
        <row r="324">
          <cell r="A324" t="str">
            <v>trans_i18n_5600323</v>
          </cell>
          <cell r="C324"/>
        </row>
        <row r="325">
          <cell r="A325" t="str">
            <v>trans_i18n_5600324</v>
          </cell>
          <cell r="C325"/>
        </row>
        <row r="326">
          <cell r="A326" t="str">
            <v>trans_i18n_5600325</v>
          </cell>
          <cell r="C326"/>
        </row>
        <row r="327">
          <cell r="A327" t="str">
            <v>trans_i18n_5600326</v>
          </cell>
          <cell r="C327"/>
        </row>
        <row r="328">
          <cell r="A328" t="str">
            <v>trans_i18n_5600331</v>
          </cell>
          <cell r="C328"/>
        </row>
        <row r="329">
          <cell r="A329" t="str">
            <v>trans_i18n_5600332</v>
          </cell>
          <cell r="C329"/>
        </row>
        <row r="330">
          <cell r="A330" t="str">
            <v>trans_i18n_5600333</v>
          </cell>
          <cell r="C330"/>
        </row>
        <row r="331">
          <cell r="A331" t="str">
            <v>trans_i18n_5600334</v>
          </cell>
          <cell r="C331"/>
        </row>
        <row r="332">
          <cell r="A332" t="str">
            <v>trans_i18n_5600335</v>
          </cell>
          <cell r="C332"/>
        </row>
        <row r="333">
          <cell r="A333" t="str">
            <v>trans_i18n_5600336</v>
          </cell>
          <cell r="C333"/>
        </row>
        <row r="334">
          <cell r="A334" t="str">
            <v>trans_i18n_5600337</v>
          </cell>
          <cell r="C334"/>
        </row>
        <row r="335">
          <cell r="A335" t="str">
            <v>trans_i18n_5600411</v>
          </cell>
          <cell r="C335"/>
        </row>
        <row r="336">
          <cell r="A336" t="str">
            <v>trans_i18n_5600412</v>
          </cell>
          <cell r="C336"/>
        </row>
        <row r="337">
          <cell r="A337" t="str">
            <v>trans_i18n_5600413</v>
          </cell>
          <cell r="C337"/>
        </row>
        <row r="338">
          <cell r="A338" t="str">
            <v>trans_i18n_5600414</v>
          </cell>
          <cell r="C338"/>
        </row>
        <row r="339">
          <cell r="A339" t="str">
            <v>trans_i18n_5600415</v>
          </cell>
          <cell r="C339"/>
        </row>
        <row r="340">
          <cell r="A340" t="str">
            <v>trans_i18n_5600416</v>
          </cell>
          <cell r="C340"/>
        </row>
        <row r="341">
          <cell r="A341" t="str">
            <v>trans_i18n_5600421</v>
          </cell>
          <cell r="C341"/>
        </row>
        <row r="342">
          <cell r="A342" t="str">
            <v>trans_i18n_5600422</v>
          </cell>
          <cell r="C342"/>
        </row>
        <row r="343">
          <cell r="A343" t="str">
            <v>trans_i18n_5600423</v>
          </cell>
          <cell r="C343"/>
        </row>
        <row r="344">
          <cell r="A344" t="str">
            <v>trans_i18n_5600424</v>
          </cell>
          <cell r="C344"/>
        </row>
        <row r="345">
          <cell r="A345" t="str">
            <v>trans_i18n_5600425</v>
          </cell>
          <cell r="C345"/>
        </row>
        <row r="346">
          <cell r="A346" t="str">
            <v>trans_i18n_5600426</v>
          </cell>
          <cell r="C346"/>
        </row>
        <row r="347">
          <cell r="A347" t="str">
            <v>trans_i18n_5600431</v>
          </cell>
          <cell r="C347"/>
        </row>
        <row r="348">
          <cell r="A348" t="str">
            <v>trans_i18n_5600432</v>
          </cell>
          <cell r="C348"/>
        </row>
        <row r="349">
          <cell r="A349" t="str">
            <v>trans_i18n_5600433</v>
          </cell>
          <cell r="C349"/>
        </row>
        <row r="350">
          <cell r="A350" t="str">
            <v>trans_i18n_5600434</v>
          </cell>
          <cell r="C350"/>
        </row>
        <row r="351">
          <cell r="A351" t="str">
            <v>trans_i18n_5600435</v>
          </cell>
          <cell r="C351"/>
        </row>
        <row r="352">
          <cell r="A352" t="str">
            <v>trans_i18n_5600436</v>
          </cell>
          <cell r="C352"/>
        </row>
        <row r="353">
          <cell r="A353" t="str">
            <v>trans_i18n_5600511</v>
          </cell>
          <cell r="C353"/>
        </row>
        <row r="354">
          <cell r="A354" t="str">
            <v>trans_i18n_5600512</v>
          </cell>
          <cell r="C354"/>
        </row>
        <row r="355">
          <cell r="A355" t="str">
            <v>trans_i18n_5600513</v>
          </cell>
          <cell r="C355"/>
        </row>
        <row r="356">
          <cell r="A356" t="str">
            <v>trans_i18n_5600514</v>
          </cell>
          <cell r="C356"/>
        </row>
        <row r="357">
          <cell r="A357" t="str">
            <v>trans_i18n_5600515</v>
          </cell>
          <cell r="C357"/>
        </row>
        <row r="358">
          <cell r="A358" t="str">
            <v>trans_i18n_5600516</v>
          </cell>
          <cell r="C358"/>
        </row>
        <row r="359">
          <cell r="A359" t="str">
            <v>trans_i18n_5600517</v>
          </cell>
          <cell r="C359"/>
        </row>
        <row r="360">
          <cell r="A360" t="str">
            <v>trans_i18n_5600518</v>
          </cell>
          <cell r="C360"/>
        </row>
        <row r="361">
          <cell r="A361" t="str">
            <v>trans_i18n_5600521</v>
          </cell>
          <cell r="C361"/>
        </row>
        <row r="362">
          <cell r="A362" t="str">
            <v>trans_i18n_5600522</v>
          </cell>
          <cell r="C362"/>
        </row>
        <row r="363">
          <cell r="A363" t="str">
            <v>trans_i18n_5600523</v>
          </cell>
          <cell r="C363"/>
        </row>
        <row r="364">
          <cell r="A364" t="str">
            <v>trans_i18n_5600524</v>
          </cell>
          <cell r="C364"/>
        </row>
        <row r="365">
          <cell r="A365" t="str">
            <v>trans_i18n_5600525</v>
          </cell>
          <cell r="C365"/>
        </row>
        <row r="366">
          <cell r="A366" t="str">
            <v>trans_i18n_5600526</v>
          </cell>
          <cell r="C366"/>
        </row>
        <row r="367">
          <cell r="A367" t="str">
            <v>trans_i18n_5600527</v>
          </cell>
          <cell r="C367"/>
        </row>
        <row r="368">
          <cell r="A368" t="str">
            <v>trans_i18n_5600528</v>
          </cell>
          <cell r="C368"/>
        </row>
        <row r="369">
          <cell r="A369" t="str">
            <v>trans_i18n_5600531</v>
          </cell>
          <cell r="C369"/>
        </row>
        <row r="370">
          <cell r="A370" t="str">
            <v>trans_i18n_5600532</v>
          </cell>
          <cell r="C370"/>
        </row>
        <row r="371">
          <cell r="A371" t="str">
            <v>trans_i18n_5600533</v>
          </cell>
          <cell r="C371"/>
        </row>
        <row r="372">
          <cell r="A372" t="str">
            <v>trans_i18n_5600534</v>
          </cell>
          <cell r="C372"/>
        </row>
        <row r="373">
          <cell r="A373" t="str">
            <v>trans_i18n_5600535</v>
          </cell>
          <cell r="C373"/>
        </row>
        <row r="374">
          <cell r="A374" t="str">
            <v>trans_i18n_5600536</v>
          </cell>
          <cell r="C374"/>
        </row>
        <row r="375">
          <cell r="A375" t="str">
            <v>trans_i18n_5600537</v>
          </cell>
          <cell r="C375"/>
        </row>
        <row r="376">
          <cell r="A376" t="str">
            <v>armament_name_1</v>
          </cell>
          <cell r="C376"/>
        </row>
        <row r="377">
          <cell r="A377" t="str">
            <v>armament_name_2</v>
          </cell>
          <cell r="C377"/>
        </row>
        <row r="378">
          <cell r="A378" t="str">
            <v>armament_name_3</v>
          </cell>
          <cell r="C378"/>
        </row>
        <row r="379">
          <cell r="A379" t="str">
            <v>armament_name_4</v>
          </cell>
          <cell r="C379"/>
        </row>
        <row r="380">
          <cell r="A380" t="str">
            <v>armament_name_5</v>
          </cell>
          <cell r="C380"/>
        </row>
        <row r="381">
          <cell r="A381" t="str">
            <v>armament_name_6</v>
          </cell>
          <cell r="C381"/>
        </row>
        <row r="382">
          <cell r="A382" t="str">
            <v>armament_name_7</v>
          </cell>
          <cell r="C382"/>
        </row>
        <row r="383">
          <cell r="A383" t="str">
            <v>armament_name_8</v>
          </cell>
          <cell r="C383"/>
        </row>
        <row r="384">
          <cell r="A384" t="str">
            <v>armament_description_1</v>
          </cell>
          <cell r="C384"/>
        </row>
        <row r="385">
          <cell r="A385" t="str">
            <v>armament_description_2</v>
          </cell>
          <cell r="C385"/>
        </row>
        <row r="386">
          <cell r="A386" t="str">
            <v>armament_description_3</v>
          </cell>
          <cell r="C386"/>
        </row>
        <row r="387">
          <cell r="A387" t="str">
            <v>armament_description_4</v>
          </cell>
          <cell r="C387"/>
        </row>
        <row r="388">
          <cell r="A388" t="str">
            <v>armament_description_5</v>
          </cell>
          <cell r="C388"/>
        </row>
        <row r="389">
          <cell r="A389" t="str">
            <v>armament_description_6</v>
          </cell>
          <cell r="C389"/>
        </row>
        <row r="390">
          <cell r="A390" t="str">
            <v>armament_description_7</v>
          </cell>
          <cell r="C390"/>
        </row>
        <row r="391">
          <cell r="A391" t="str">
            <v>armament_description_8</v>
          </cell>
          <cell r="C391"/>
        </row>
        <row r="392">
          <cell r="A392" t="str">
            <v>personal_arms_name_80001</v>
          </cell>
          <cell r="C392"/>
        </row>
        <row r="393">
          <cell r="A393" t="str">
            <v>personal_arms_name_80002</v>
          </cell>
          <cell r="C393"/>
        </row>
        <row r="394">
          <cell r="A394" t="str">
            <v>personal_arms_name_80003</v>
          </cell>
          <cell r="C394"/>
        </row>
        <row r="395">
          <cell r="A395" t="str">
            <v>personal_arms_name_80004</v>
          </cell>
          <cell r="C395"/>
        </row>
        <row r="396">
          <cell r="A396" t="str">
            <v>personal_arms_name_80005</v>
          </cell>
          <cell r="C396"/>
        </row>
        <row r="397">
          <cell r="A397" t="str">
            <v>personal_arms_name_80006</v>
          </cell>
          <cell r="C397"/>
        </row>
        <row r="398">
          <cell r="A398" t="str">
            <v>personal_arms_name_80007</v>
          </cell>
          <cell r="C398"/>
        </row>
        <row r="399">
          <cell r="A399" t="str">
            <v>personal_arms_name_80008</v>
          </cell>
          <cell r="C399"/>
        </row>
        <row r="400">
          <cell r="A400" t="str">
            <v>personal_arms_name_80009</v>
          </cell>
          <cell r="C400"/>
        </row>
        <row r="401">
          <cell r="A401" t="str">
            <v>personal_arms_name_80010</v>
          </cell>
          <cell r="C401"/>
        </row>
        <row r="402">
          <cell r="A402" t="str">
            <v>personal_arms_name_80011</v>
          </cell>
          <cell r="C402"/>
        </row>
        <row r="403">
          <cell r="A403" t="str">
            <v>personal_arms_name_80013</v>
          </cell>
          <cell r="C403"/>
        </row>
        <row r="404">
          <cell r="A404" t="str">
            <v>personal_arms_name_80016</v>
          </cell>
          <cell r="C404"/>
        </row>
        <row r="405">
          <cell r="A405" t="str">
            <v>personal_arms_name_80023</v>
          </cell>
          <cell r="C405"/>
        </row>
        <row r="406">
          <cell r="A406" t="str">
            <v>personal_arms_name_80024</v>
          </cell>
          <cell r="C406"/>
        </row>
        <row r="407">
          <cell r="A407" t="str">
            <v>personal_arms_name_80025</v>
          </cell>
          <cell r="C407"/>
        </row>
        <row r="408">
          <cell r="A408" t="str">
            <v>personal_arms_name_80026</v>
          </cell>
          <cell r="C408"/>
        </row>
        <row r="409">
          <cell r="A409" t="str">
            <v>personal_arms_name_80027</v>
          </cell>
          <cell r="C409"/>
        </row>
        <row r="410">
          <cell r="A410" t="str">
            <v>personal_arms_name_80028</v>
          </cell>
          <cell r="C410"/>
        </row>
        <row r="411">
          <cell r="A411" t="str">
            <v>personal_arms_name_80029</v>
          </cell>
          <cell r="C411"/>
        </row>
        <row r="412">
          <cell r="A412" t="str">
            <v>personal_arms_name_80030</v>
          </cell>
          <cell r="C412"/>
        </row>
        <row r="413">
          <cell r="A413" t="str">
            <v>personal_arms_name_80031</v>
          </cell>
          <cell r="C413"/>
        </row>
        <row r="414">
          <cell r="A414" t="str">
            <v>personal_arms_name_80032</v>
          </cell>
          <cell r="C414"/>
        </row>
        <row r="415">
          <cell r="A415" t="str">
            <v>personal_arms_name_80033</v>
          </cell>
          <cell r="C415"/>
        </row>
        <row r="416">
          <cell r="A416" t="str">
            <v>personal_arms_name_80034</v>
          </cell>
          <cell r="C416"/>
        </row>
        <row r="417">
          <cell r="A417" t="str">
            <v>personal_arms_name_80035</v>
          </cell>
          <cell r="C417"/>
        </row>
        <row r="418">
          <cell r="A418" t="str">
            <v>personal_arms_name_80036</v>
          </cell>
          <cell r="C418"/>
        </row>
        <row r="419">
          <cell r="A419" t="str">
            <v>personal_arms_name_80037</v>
          </cell>
          <cell r="C419"/>
        </row>
        <row r="420">
          <cell r="A420" t="str">
            <v>personal_arms_name_80038</v>
          </cell>
          <cell r="C420"/>
        </row>
        <row r="421">
          <cell r="A421" t="str">
            <v>personal_arms_name_80039</v>
          </cell>
          <cell r="C421"/>
        </row>
        <row r="422">
          <cell r="A422" t="str">
            <v>personal_arms_name_80040</v>
          </cell>
          <cell r="C422"/>
        </row>
        <row r="423">
          <cell r="A423" t="str">
            <v>personal_arms_name_80041</v>
          </cell>
          <cell r="C423"/>
        </row>
        <row r="424">
          <cell r="A424" t="str">
            <v>personal_arms_name_80042</v>
          </cell>
          <cell r="C424"/>
        </row>
        <row r="425">
          <cell r="A425" t="str">
            <v>personal_arms_name_80043</v>
          </cell>
          <cell r="C425"/>
        </row>
        <row r="426">
          <cell r="A426" t="str">
            <v>personal_arms_name_80044</v>
          </cell>
          <cell r="C426"/>
        </row>
        <row r="427">
          <cell r="A427" t="str">
            <v>personal_arms_name_80045</v>
          </cell>
          <cell r="C427"/>
        </row>
        <row r="428">
          <cell r="A428" t="str">
            <v>personal_arms_name_80046</v>
          </cell>
          <cell r="C428"/>
        </row>
        <row r="429">
          <cell r="A429" t="str">
            <v>personal_arms_name_80047</v>
          </cell>
          <cell r="C429"/>
        </row>
        <row r="430">
          <cell r="A430" t="str">
            <v>personal_arms_name_80051</v>
          </cell>
          <cell r="C430"/>
        </row>
        <row r="431">
          <cell r="A431" t="str">
            <v>personal_arms_name_80052</v>
          </cell>
          <cell r="C431"/>
        </row>
        <row r="432">
          <cell r="A432" t="str">
            <v>personal_arms_name_80053</v>
          </cell>
          <cell r="C432"/>
        </row>
        <row r="433">
          <cell r="A433" t="str">
            <v>personal_arms_name_80054</v>
          </cell>
          <cell r="C433"/>
        </row>
        <row r="434">
          <cell r="A434" t="str">
            <v>personal_arms_name_80055</v>
          </cell>
          <cell r="C434"/>
        </row>
        <row r="435">
          <cell r="A435" t="str">
            <v>personal_arms_name_80056</v>
          </cell>
          <cell r="C435"/>
        </row>
        <row r="436">
          <cell r="A436" t="str">
            <v>personal_arms_name_80057</v>
          </cell>
          <cell r="C436"/>
        </row>
        <row r="437">
          <cell r="A437" t="str">
            <v>personal_arms_name_80058</v>
          </cell>
          <cell r="C437"/>
        </row>
        <row r="438">
          <cell r="A438" t="str">
            <v>personal_arms_name_80059</v>
          </cell>
          <cell r="C438"/>
        </row>
        <row r="439">
          <cell r="A439" t="str">
            <v>personal_arms_name_80060</v>
          </cell>
          <cell r="C439"/>
        </row>
        <row r="440">
          <cell r="A440" t="str">
            <v>personal_arms_name_80061</v>
          </cell>
          <cell r="C440"/>
        </row>
        <row r="441">
          <cell r="A441" t="str">
            <v>personal_arms_name_80062</v>
          </cell>
          <cell r="C441"/>
        </row>
        <row r="442">
          <cell r="A442" t="str">
            <v>personal_arms_name_80063</v>
          </cell>
          <cell r="C442"/>
        </row>
        <row r="443">
          <cell r="A443" t="str">
            <v>personal_arms_name_80064</v>
          </cell>
          <cell r="C443"/>
        </row>
        <row r="444">
          <cell r="A444" t="str">
            <v>personal_arms_name_80065</v>
          </cell>
          <cell r="C444"/>
        </row>
        <row r="445">
          <cell r="A445" t="str">
            <v>personal_arms_name_80066</v>
          </cell>
          <cell r="C445"/>
        </row>
        <row r="446">
          <cell r="A446" t="str">
            <v>personal_arms_name_80067</v>
          </cell>
          <cell r="C446"/>
        </row>
        <row r="447">
          <cell r="A447" t="str">
            <v>personal_arms_name_80068</v>
          </cell>
          <cell r="C447"/>
        </row>
        <row r="448">
          <cell r="A448" t="str">
            <v>gift_name_2900101</v>
          </cell>
          <cell r="C448"/>
        </row>
        <row r="449">
          <cell r="A449" t="str">
            <v>gift_name_2900102</v>
          </cell>
          <cell r="C449"/>
        </row>
        <row r="450">
          <cell r="A450" t="str">
            <v>gift_name_2900201</v>
          </cell>
          <cell r="C450"/>
        </row>
        <row r="451">
          <cell r="A451" t="str">
            <v>gift_name_2900202</v>
          </cell>
          <cell r="C451"/>
        </row>
        <row r="452">
          <cell r="A452" t="str">
            <v>gift_name_2900203</v>
          </cell>
          <cell r="C452"/>
        </row>
        <row r="453">
          <cell r="A453" t="str">
            <v>gift_name_2900204</v>
          </cell>
          <cell r="C453"/>
        </row>
        <row r="454">
          <cell r="A454" t="str">
            <v>gift_name_2900301</v>
          </cell>
          <cell r="C454"/>
        </row>
        <row r="455">
          <cell r="A455" t="str">
            <v>gift_name_2900401</v>
          </cell>
          <cell r="C455"/>
        </row>
        <row r="456">
          <cell r="A456" t="str">
            <v>gift_name_2900501</v>
          </cell>
          <cell r="C456"/>
        </row>
        <row r="457">
          <cell r="A457" t="str">
            <v>gift_name_2900601</v>
          </cell>
          <cell r="C457"/>
        </row>
        <row r="458">
          <cell r="A458" t="str">
            <v>gift_name_2900701</v>
          </cell>
          <cell r="C458"/>
        </row>
        <row r="459">
          <cell r="A459" t="str">
            <v>gift_name_2900801</v>
          </cell>
          <cell r="C459"/>
        </row>
        <row r="460">
          <cell r="A460" t="str">
            <v>gift_name_2900901</v>
          </cell>
          <cell r="C460"/>
        </row>
        <row r="461">
          <cell r="A461" t="str">
            <v>gift_name_2901001</v>
          </cell>
          <cell r="C461"/>
        </row>
        <row r="462">
          <cell r="A462" t="str">
            <v>gift_name_2901101</v>
          </cell>
          <cell r="C462"/>
        </row>
        <row r="463">
          <cell r="A463" t="str">
            <v>gift_name_2901102</v>
          </cell>
          <cell r="C463"/>
        </row>
        <row r="464">
          <cell r="A464" t="str">
            <v>gift_name_2901701</v>
          </cell>
          <cell r="C464"/>
        </row>
        <row r="465">
          <cell r="A465" t="str">
            <v>gift_name_29023</v>
          </cell>
          <cell r="C465"/>
        </row>
        <row r="466">
          <cell r="A466" t="str">
            <v>gift_name_2904601</v>
          </cell>
          <cell r="C466"/>
        </row>
        <row r="467">
          <cell r="A467" t="str">
            <v>gift_limits_once</v>
          </cell>
          <cell r="C467"/>
        </row>
        <row r="468">
          <cell r="A468" t="str">
            <v>gift_limits_hotsale</v>
          </cell>
          <cell r="C468"/>
        </row>
        <row r="469">
          <cell r="A469" t="str">
            <v>gift_limits_3times</v>
          </cell>
          <cell r="C469"/>
        </row>
        <row r="470">
          <cell r="A470" t="str">
            <v>gift_market_supervaluehotsale</v>
          </cell>
          <cell r="C470"/>
        </row>
        <row r="471">
          <cell r="A471" t="str">
            <v>gift_market_limithotsale</v>
          </cell>
          <cell r="C471"/>
        </row>
        <row r="472">
          <cell r="A472" t="str">
            <v>gift_market_percent130</v>
          </cell>
          <cell r="C472"/>
        </row>
        <row r="473">
          <cell r="A473" t="str">
            <v>gift_market_percent150</v>
          </cell>
          <cell r="C473"/>
        </row>
        <row r="474">
          <cell r="A474" t="str">
            <v>gift_market_percent180</v>
          </cell>
          <cell r="C474"/>
        </row>
        <row r="475">
          <cell r="A475" t="str">
            <v>gift_market_percent300</v>
          </cell>
          <cell r="C475"/>
        </row>
        <row r="476">
          <cell r="A476" t="str">
            <v>gift_market_percent500</v>
          </cell>
          <cell r="C476"/>
        </row>
        <row r="477">
          <cell r="A477" t="str">
            <v>gift_market_percent600</v>
          </cell>
          <cell r="C477"/>
        </row>
        <row r="478">
          <cell r="A478" t="str">
            <v>gift_market_percent700</v>
          </cell>
          <cell r="C478"/>
        </row>
        <row r="479">
          <cell r="A479" t="str">
            <v>gift_market_percent800</v>
          </cell>
          <cell r="C479"/>
        </row>
        <row r="480">
          <cell r="A480" t="str">
            <v>gift_market_percent900</v>
          </cell>
          <cell r="C480"/>
        </row>
        <row r="481">
          <cell r="A481" t="str">
            <v>gift_market_percent1000</v>
          </cell>
          <cell r="C481"/>
        </row>
        <row r="482">
          <cell r="A482" t="str">
            <v>gift_desc_1</v>
          </cell>
          <cell r="C482"/>
        </row>
        <row r="483">
          <cell r="A483" t="str">
            <v>gift_desc_29002</v>
          </cell>
          <cell r="C483"/>
        </row>
        <row r="484">
          <cell r="A484" t="str">
            <v>gift_desc_3</v>
          </cell>
          <cell r="C484"/>
        </row>
        <row r="485">
          <cell r="A485" t="str">
            <v>gift_desc_4</v>
          </cell>
          <cell r="C485"/>
        </row>
        <row r="486">
          <cell r="A486" t="str">
            <v>gift_desc_5</v>
          </cell>
          <cell r="C486"/>
        </row>
        <row r="487">
          <cell r="A487" t="str">
            <v>gift_desc_6</v>
          </cell>
          <cell r="C487"/>
        </row>
        <row r="488">
          <cell r="A488" t="str">
            <v>gift_desc_7</v>
          </cell>
          <cell r="C488"/>
        </row>
        <row r="489">
          <cell r="A489" t="str">
            <v>gift_desc_8</v>
          </cell>
          <cell r="C489"/>
        </row>
        <row r="490">
          <cell r="A490" t="str">
            <v>gift_desc_9</v>
          </cell>
          <cell r="C490"/>
        </row>
        <row r="491">
          <cell r="A491" t="str">
            <v>gift_desc_10</v>
          </cell>
          <cell r="C491"/>
        </row>
        <row r="492">
          <cell r="A492" t="str">
            <v>gift_desc_11</v>
          </cell>
          <cell r="C492"/>
        </row>
        <row r="493">
          <cell r="A493" t="str">
            <v>gift_desc_12</v>
          </cell>
          <cell r="C493"/>
        </row>
        <row r="494">
          <cell r="A494" t="str">
            <v>gift_desc_14</v>
          </cell>
          <cell r="C494"/>
        </row>
        <row r="495">
          <cell r="A495" t="str">
            <v>gift_desc_29023</v>
          </cell>
          <cell r="C495"/>
        </row>
        <row r="496">
          <cell r="A496" t="str">
            <v>gift_desc_42</v>
          </cell>
          <cell r="C496"/>
        </row>
        <row r="497">
          <cell r="A497" t="str">
            <v>gift_desc_46</v>
          </cell>
          <cell r="C497"/>
        </row>
        <row r="498">
          <cell r="A498" t="str">
            <v>Project_Falcon_1</v>
          </cell>
          <cell r="C498"/>
        </row>
        <row r="499">
          <cell r="A499" t="str">
            <v>Project_Falcon_2</v>
          </cell>
          <cell r="C499"/>
        </row>
        <row r="500">
          <cell r="A500" t="str">
            <v>Project_Falcon_3</v>
          </cell>
          <cell r="C500"/>
        </row>
        <row r="501">
          <cell r="A501" t="str">
            <v>Project_Falcon_4</v>
          </cell>
          <cell r="C501"/>
        </row>
        <row r="502">
          <cell r="A502" t="str">
            <v>Project_Falcon_5</v>
          </cell>
          <cell r="C502"/>
        </row>
        <row r="503">
          <cell r="A503" t="str">
            <v>Project_Falcon_6</v>
          </cell>
          <cell r="C503"/>
        </row>
        <row r="504">
          <cell r="A504" t="str">
            <v>Project_Falcon_7</v>
          </cell>
          <cell r="C504"/>
        </row>
        <row r="505">
          <cell r="A505" t="str">
            <v>Project_Falcon_8</v>
          </cell>
          <cell r="C505"/>
        </row>
        <row r="506">
          <cell r="A506" t="str">
            <v>Project_Falcon_9</v>
          </cell>
          <cell r="C506"/>
        </row>
        <row r="507">
          <cell r="A507" t="str">
            <v>Project_Falcon_10</v>
          </cell>
          <cell r="C507"/>
        </row>
        <row r="508">
          <cell r="A508" t="str">
            <v>Project_Falcon_11</v>
          </cell>
          <cell r="C508"/>
        </row>
        <row r="509">
          <cell r="A509" t="str">
            <v>Project_Falcon_12</v>
          </cell>
          <cell r="C509"/>
        </row>
        <row r="510">
          <cell r="A510" t="str">
            <v>Project_Falcon_13</v>
          </cell>
          <cell r="C510"/>
        </row>
        <row r="511">
          <cell r="A511" t="str">
            <v>Project_Falcon_14</v>
          </cell>
          <cell r="C511"/>
        </row>
        <row r="512">
          <cell r="A512" t="str">
            <v>Project_Falcon_15</v>
          </cell>
          <cell r="C512"/>
        </row>
        <row r="513">
          <cell r="A513" t="str">
            <v>Project_Falcon_16</v>
          </cell>
          <cell r="C513"/>
        </row>
        <row r="514">
          <cell r="A514" t="str">
            <v>Project_Falcon_17</v>
          </cell>
          <cell r="C514"/>
        </row>
        <row r="515">
          <cell r="A515" t="str">
            <v>Project_Falcon_18</v>
          </cell>
          <cell r="C515"/>
        </row>
        <row r="516">
          <cell r="A516" t="str">
            <v>Project_Falcon_19</v>
          </cell>
          <cell r="C516"/>
        </row>
        <row r="517">
          <cell r="A517" t="str">
            <v>Project_Falcon_20</v>
          </cell>
          <cell r="C517"/>
        </row>
        <row r="518">
          <cell r="A518" t="str">
            <v>Project_Falcon_21</v>
          </cell>
          <cell r="C518"/>
        </row>
        <row r="519">
          <cell r="A519" t="str">
            <v>Project_Falcon_22</v>
          </cell>
          <cell r="C519"/>
        </row>
        <row r="520">
          <cell r="A520" t="str">
            <v>Project_Falcon_23</v>
          </cell>
          <cell r="C520"/>
        </row>
        <row r="521">
          <cell r="A521" t="str">
            <v>Project_Falcon_24</v>
          </cell>
          <cell r="C521"/>
        </row>
        <row r="522">
          <cell r="A522" t="str">
            <v>Project_Falcon_25</v>
          </cell>
          <cell r="C522"/>
        </row>
        <row r="523">
          <cell r="A523" t="str">
            <v>Project_Falcon_26</v>
          </cell>
          <cell r="C523"/>
        </row>
        <row r="524">
          <cell r="A524" t="str">
            <v>Project_Falcon_27</v>
          </cell>
          <cell r="C524"/>
        </row>
        <row r="525">
          <cell r="A525" t="str">
            <v>Project_Falcon_28</v>
          </cell>
          <cell r="C525"/>
        </row>
        <row r="526">
          <cell r="A526" t="str">
            <v>Project_Falcon_29</v>
          </cell>
          <cell r="C526"/>
        </row>
        <row r="527">
          <cell r="A527" t="str">
            <v>Project_Falcon_30</v>
          </cell>
          <cell r="C527"/>
        </row>
        <row r="528">
          <cell r="A528" t="str">
            <v>Project_Falcon_31</v>
          </cell>
          <cell r="C528"/>
        </row>
        <row r="529">
          <cell r="A529" t="str">
            <v>Project_Falcon_32</v>
          </cell>
          <cell r="C529"/>
        </row>
        <row r="530">
          <cell r="A530" t="str">
            <v>Project_Falcon_33</v>
          </cell>
          <cell r="C530"/>
        </row>
        <row r="531">
          <cell r="A531" t="str">
            <v>Project_Falcon_34</v>
          </cell>
          <cell r="C531"/>
        </row>
        <row r="532">
          <cell r="A532" t="str">
            <v>Project_Falcon_35</v>
          </cell>
          <cell r="C532"/>
        </row>
        <row r="533">
          <cell r="A533" t="str">
            <v>Project_Falcon_36</v>
          </cell>
          <cell r="C533"/>
        </row>
        <row r="534">
          <cell r="A534" t="str">
            <v>Project_Falcon_37</v>
          </cell>
          <cell r="C534"/>
        </row>
        <row r="535">
          <cell r="A535" t="str">
            <v>Project_Falcon_38</v>
          </cell>
          <cell r="C535"/>
        </row>
        <row r="536">
          <cell r="A536" t="str">
            <v>Project_Falcon_39</v>
          </cell>
          <cell r="C536"/>
        </row>
        <row r="537">
          <cell r="A537" t="str">
            <v>Project_Falcon_40</v>
          </cell>
          <cell r="C537"/>
        </row>
        <row r="538">
          <cell r="A538" t="str">
            <v>Project_Falcon_41</v>
          </cell>
          <cell r="C538"/>
        </row>
        <row r="539">
          <cell r="A539" t="str">
            <v>Project_Falcon_42</v>
          </cell>
          <cell r="C539"/>
        </row>
        <row r="540">
          <cell r="A540" t="str">
            <v>Project_Falcon_43</v>
          </cell>
          <cell r="C540"/>
        </row>
        <row r="541">
          <cell r="A541" t="str">
            <v>Project_Falcon_44</v>
          </cell>
          <cell r="C541"/>
        </row>
        <row r="542">
          <cell r="A542" t="str">
            <v>Project_Falcon_45</v>
          </cell>
          <cell r="C542"/>
        </row>
        <row r="543">
          <cell r="A543" t="str">
            <v>Project_Falcon_46</v>
          </cell>
          <cell r="C543"/>
        </row>
        <row r="544">
          <cell r="A544" t="str">
            <v>Project_Falcon_47</v>
          </cell>
          <cell r="C544"/>
        </row>
        <row r="545">
          <cell r="A545" t="str">
            <v>Project_Falcon_48</v>
          </cell>
          <cell r="C545"/>
        </row>
        <row r="546">
          <cell r="A546" t="str">
            <v>Project_Falcon_49</v>
          </cell>
          <cell r="C546"/>
        </row>
        <row r="547">
          <cell r="A547" t="str">
            <v>Project_Falcon_50</v>
          </cell>
          <cell r="C547"/>
        </row>
        <row r="548">
          <cell r="A548" t="str">
            <v>Project_Falcon_51</v>
          </cell>
          <cell r="C548"/>
        </row>
        <row r="549">
          <cell r="A549" t="str">
            <v>Project_Falcon_52</v>
          </cell>
          <cell r="C549"/>
        </row>
        <row r="550">
          <cell r="A550" t="str">
            <v>Project_Falcon_53</v>
          </cell>
          <cell r="C550"/>
        </row>
        <row r="551">
          <cell r="A551" t="str">
            <v>Project_Falcon_54</v>
          </cell>
          <cell r="C551"/>
        </row>
        <row r="552">
          <cell r="A552" t="str">
            <v>Project_Falcon_55</v>
          </cell>
          <cell r="C552"/>
        </row>
        <row r="553">
          <cell r="A553" t="str">
            <v>Project_Falcon_56</v>
          </cell>
          <cell r="C553"/>
        </row>
        <row r="554">
          <cell r="A554" t="str">
            <v>Project_Falcon_57</v>
          </cell>
          <cell r="C554"/>
        </row>
        <row r="555">
          <cell r="A555" t="str">
            <v>Project_Falcon_58</v>
          </cell>
          <cell r="C555"/>
        </row>
        <row r="556">
          <cell r="A556" t="str">
            <v>Project_Falcon_59</v>
          </cell>
          <cell r="C556"/>
        </row>
        <row r="557">
          <cell r="A557" t="str">
            <v>Project_Falcon_60</v>
          </cell>
          <cell r="C557"/>
        </row>
        <row r="558">
          <cell r="A558" t="str">
            <v>Project_Falcon_61</v>
          </cell>
          <cell r="C558"/>
        </row>
        <row r="559">
          <cell r="A559" t="str">
            <v>Project_Falcon_62</v>
          </cell>
          <cell r="C559"/>
        </row>
        <row r="560">
          <cell r="A560" t="str">
            <v>Project_Falcon_63</v>
          </cell>
          <cell r="C560"/>
        </row>
        <row r="561">
          <cell r="A561" t="str">
            <v>Project_Falcon_64</v>
          </cell>
          <cell r="C561"/>
        </row>
        <row r="562">
          <cell r="A562" t="str">
            <v>Project_Falcon_65</v>
          </cell>
          <cell r="C562"/>
        </row>
        <row r="563">
          <cell r="A563" t="str">
            <v>Project_Falcon_66</v>
          </cell>
          <cell r="C563"/>
        </row>
        <row r="564">
          <cell r="A564" t="str">
            <v>Project_Falcon_67</v>
          </cell>
          <cell r="C564"/>
        </row>
        <row r="565">
          <cell r="A565" t="str">
            <v>Project_Falcon_68</v>
          </cell>
          <cell r="C565"/>
        </row>
        <row r="566">
          <cell r="A566" t="str">
            <v>Project_Falcon_69</v>
          </cell>
          <cell r="C566"/>
        </row>
        <row r="567">
          <cell r="A567" t="str">
            <v>Project_Falcon_70</v>
          </cell>
          <cell r="C567"/>
        </row>
        <row r="568">
          <cell r="A568" t="str">
            <v>Project_Falcon_71</v>
          </cell>
          <cell r="C568"/>
        </row>
        <row r="569">
          <cell r="A569" t="str">
            <v>Project_Falcon_72</v>
          </cell>
          <cell r="C569"/>
        </row>
        <row r="570">
          <cell r="A570" t="str">
            <v>Project_Falcon_73</v>
          </cell>
          <cell r="C570"/>
        </row>
        <row r="571">
          <cell r="A571" t="str">
            <v>Gift_type_show_1</v>
          </cell>
          <cell r="C571"/>
        </row>
        <row r="572">
          <cell r="A572" t="str">
            <v>Gift_type_show_2</v>
          </cell>
          <cell r="C572"/>
        </row>
        <row r="573">
          <cell r="A573" t="str">
            <v>Gift_type_show_3</v>
          </cell>
          <cell r="C573"/>
        </row>
        <row r="574">
          <cell r="A574" t="str">
            <v>Gift_type_show_4</v>
          </cell>
          <cell r="C574"/>
        </row>
        <row r="575">
          <cell r="A575" t="str">
            <v>Gift_type_show_5</v>
          </cell>
          <cell r="C575"/>
        </row>
        <row r="576">
          <cell r="A576" t="str">
            <v>Remaining_times</v>
          </cell>
          <cell r="C576"/>
        </row>
        <row r="577">
          <cell r="A577" t="str">
            <v>gift_name_29018</v>
          </cell>
        </row>
        <row r="578">
          <cell r="A578" t="str">
            <v>gift_name_29043</v>
          </cell>
        </row>
        <row r="579">
          <cell r="A579" t="str">
            <v>gift_name_29044</v>
          </cell>
        </row>
        <row r="580">
          <cell r="A580" t="str">
            <v>gift_name_29045</v>
          </cell>
        </row>
        <row r="581">
          <cell r="A581" t="str">
            <v>gift_name_29068</v>
          </cell>
        </row>
        <row r="582">
          <cell r="A582" t="str">
            <v>gift_desc_29018</v>
          </cell>
        </row>
        <row r="583">
          <cell r="A583" t="str">
            <v>gift_desc_29043</v>
          </cell>
        </row>
        <row r="584">
          <cell r="A584" t="str">
            <v>gift_desc_29044</v>
          </cell>
        </row>
        <row r="585">
          <cell r="A585" t="str">
            <v>gift_desc_29045</v>
          </cell>
        </row>
        <row r="586">
          <cell r="A586" t="str">
            <v>gift_desc_29068</v>
          </cell>
        </row>
        <row r="587">
          <cell r="A587" t="str">
            <v>WelfareCenter_name_102</v>
          </cell>
        </row>
        <row r="588">
          <cell r="A588" t="str">
            <v>banner_slogan_102</v>
          </cell>
        </row>
        <row r="589">
          <cell r="A589" t="str">
            <v>activity_rule_102</v>
          </cell>
        </row>
        <row r="590">
          <cell r="A590" t="str">
            <v>WelfareCenter_name_101</v>
          </cell>
        </row>
        <row r="591">
          <cell r="A591" t="str">
            <v>banner_desc_100</v>
          </cell>
        </row>
        <row r="592">
          <cell r="A592" t="str">
            <v>banner_slogan_100</v>
          </cell>
        </row>
        <row r="593">
          <cell r="A593" t="str">
            <v>activity_rule_100</v>
          </cell>
          <cell r="C593"/>
        </row>
        <row r="594">
          <cell r="A594" t="str">
            <v>WelfareCenter_name_100</v>
          </cell>
        </row>
        <row r="595">
          <cell r="A595" t="str">
            <v>banner_slogan_101</v>
          </cell>
          <cell r="C595"/>
        </row>
        <row r="596">
          <cell r="A596" t="str">
            <v>banner_desc_101</v>
          </cell>
          <cell r="C596"/>
        </row>
        <row r="597">
          <cell r="A597" t="str">
            <v>activity_rule_101</v>
          </cell>
          <cell r="C597"/>
        </row>
        <row r="598">
          <cell r="A598" t="str">
            <v>gift_limits_5times</v>
          </cell>
        </row>
        <row r="599">
          <cell r="A599" t="str">
            <v>gift_name_29047</v>
          </cell>
        </row>
        <row r="600">
          <cell r="A600" t="str">
            <v>gift_desc_29047</v>
          </cell>
        </row>
        <row r="601">
          <cell r="A601" t="str">
            <v>gift_desc_29048</v>
          </cell>
        </row>
        <row r="602">
          <cell r="A602" t="str">
            <v>foxhuntertask_desc_5910001</v>
          </cell>
        </row>
        <row r="603">
          <cell r="A603" t="str">
            <v>foxhuntertask_desc_5910002</v>
          </cell>
        </row>
        <row r="604">
          <cell r="A604" t="str">
            <v>foxhuntertask_desc_5910003</v>
          </cell>
        </row>
        <row r="605">
          <cell r="A605" t="str">
            <v>foxhuntertask_desc_5910004</v>
          </cell>
        </row>
        <row r="606">
          <cell r="A606" t="str">
            <v>foxhuntertask_desc_5910005</v>
          </cell>
        </row>
        <row r="607">
          <cell r="A607" t="str">
            <v>foxhuntertask_desc_5910006</v>
          </cell>
        </row>
        <row r="608">
          <cell r="A608" t="str">
            <v>foxhuntertask_desc_5910007</v>
          </cell>
        </row>
        <row r="609">
          <cell r="A609" t="str">
            <v>foxhuntertask_desc_5910008</v>
          </cell>
        </row>
        <row r="610">
          <cell r="A610" t="str">
            <v>foxhuntertask_desc_5910009</v>
          </cell>
        </row>
        <row r="611">
          <cell r="A611" t="str">
            <v>foxhuntertask_desc_5910010</v>
          </cell>
        </row>
        <row r="612">
          <cell r="A612" t="str">
            <v>foxhuntertask_desc_5910011</v>
          </cell>
        </row>
        <row r="613">
          <cell r="A613" t="str">
            <v>foxhuntertask_desc_5910012</v>
          </cell>
        </row>
        <row r="614">
          <cell r="A614" t="str">
            <v>foxhuntertask_desc_5910013</v>
          </cell>
        </row>
        <row r="615">
          <cell r="A615" t="str">
            <v>foxhuntertask_desc_5910014</v>
          </cell>
        </row>
        <row r="616">
          <cell r="A616" t="str">
            <v>foxhuntertask_desc_5910015</v>
          </cell>
        </row>
        <row r="617">
          <cell r="A617" t="str">
            <v>foxhuntertask_desc_5910016</v>
          </cell>
        </row>
        <row r="618">
          <cell r="A618" t="str">
            <v>foxhuntertask_desc_5910017</v>
          </cell>
        </row>
        <row r="619">
          <cell r="A619" t="str">
            <v>foxhuntertask_desc_5910018</v>
          </cell>
        </row>
        <row r="620">
          <cell r="A620" t="str">
            <v>foxhuntertask_desc_5910019</v>
          </cell>
        </row>
        <row r="621">
          <cell r="A621" t="str">
            <v>foxhuntertask_desc_5910020</v>
          </cell>
        </row>
        <row r="622">
          <cell r="A622" t="str">
            <v>foxhuntertask_desc_5910021</v>
          </cell>
        </row>
        <row r="623">
          <cell r="A623" t="str">
            <v>foxhuntertask_desc_5910022</v>
          </cell>
        </row>
        <row r="624">
          <cell r="A624" t="str">
            <v>foxhuntertask_desc_5910023</v>
          </cell>
        </row>
        <row r="625">
          <cell r="A625" t="str">
            <v>foxhuntertask_desc_5910024</v>
          </cell>
        </row>
        <row r="626">
          <cell r="A626" t="str">
            <v>foxhuntertask_desc_5910025</v>
          </cell>
        </row>
        <row r="627">
          <cell r="A627" t="str">
            <v>foxhuntertask_desc_5910026</v>
          </cell>
        </row>
        <row r="628">
          <cell r="A628" t="str">
            <v>foxhuntertask_desc_5910027</v>
          </cell>
        </row>
        <row r="629">
          <cell r="A629" t="str">
            <v>foxhuntertask_desc_5910028</v>
          </cell>
        </row>
        <row r="630">
          <cell r="A630" t="str">
            <v>foxhuntertask_desc_5910029</v>
          </cell>
        </row>
        <row r="631">
          <cell r="A631" t="str">
            <v>foxhuntertask_desc_5910030</v>
          </cell>
        </row>
        <row r="632">
          <cell r="A632" t="str">
            <v>gift_market_dontmiss</v>
          </cell>
        </row>
        <row r="633">
          <cell r="A633" t="str">
            <v>gift_limits_name_1</v>
          </cell>
        </row>
        <row r="634">
          <cell r="A634" t="str">
            <v>gift_limits_name_2</v>
          </cell>
        </row>
        <row r="635">
          <cell r="A635" t="str">
            <v>gift_limits_name_4</v>
          </cell>
        </row>
        <row r="636">
          <cell r="A636" t="str">
            <v>gift_limits_name_5</v>
          </cell>
        </row>
        <row r="637">
          <cell r="A637" t="str">
            <v>gift_market_desc_1</v>
          </cell>
        </row>
        <row r="638">
          <cell r="A638" t="str">
            <v>gift_market_desc_3</v>
          </cell>
        </row>
        <row r="639">
          <cell r="A639" t="str">
            <v>gift_market_desc_5</v>
          </cell>
        </row>
        <row r="640">
          <cell r="A640" t="str">
            <v>gift_market_desc_6</v>
          </cell>
        </row>
        <row r="641">
          <cell r="A641" t="str">
            <v>gift_market_desc_7</v>
          </cell>
        </row>
        <row r="642">
          <cell r="A642" t="str">
            <v>gift_market_desc_8</v>
          </cell>
        </row>
        <row r="643">
          <cell r="A643" t="str">
            <v>gift_market_desc_9</v>
          </cell>
        </row>
        <row r="644">
          <cell r="A644" t="str">
            <v>gift_market_desc_10</v>
          </cell>
        </row>
        <row r="645">
          <cell r="A645" t="str">
            <v>gift_name_2902101</v>
          </cell>
        </row>
        <row r="646">
          <cell r="A646" t="str">
            <v>gift_name_2901801</v>
          </cell>
        </row>
        <row r="647">
          <cell r="A647" t="str">
            <v>gift_name_2904001</v>
          </cell>
        </row>
        <row r="648">
          <cell r="A648" t="str">
            <v>gift_name_2904401</v>
          </cell>
        </row>
        <row r="649">
          <cell r="A649" t="str">
            <v>gift_name_2904501</v>
          </cell>
        </row>
        <row r="650">
          <cell r="A650" t="str">
            <v>gift_name_2906801</v>
          </cell>
        </row>
        <row r="651">
          <cell r="A651" t="str">
            <v>gift_name_29052</v>
          </cell>
          <cell r="C651"/>
        </row>
        <row r="652">
          <cell r="A652" t="str">
            <v>gift_name_29050</v>
          </cell>
          <cell r="C652"/>
        </row>
        <row r="653">
          <cell r="A653" t="str">
            <v>gift_name_29051</v>
          </cell>
          <cell r="C653"/>
        </row>
        <row r="654">
          <cell r="A654" t="str">
            <v>gift_desc_29052</v>
          </cell>
          <cell r="C654"/>
        </row>
        <row r="655">
          <cell r="A655" t="str">
            <v>gift_desc_29050</v>
          </cell>
          <cell r="C655"/>
        </row>
        <row r="656">
          <cell r="A656" t="str">
            <v>gift_desc_29051</v>
          </cell>
          <cell r="C656"/>
        </row>
        <row r="657">
          <cell r="A657" t="str">
            <v>BestState_task_1</v>
          </cell>
          <cell r="C657"/>
        </row>
        <row r="658">
          <cell r="A658" t="str">
            <v>BestState_task_3</v>
          </cell>
          <cell r="C658"/>
        </row>
        <row r="659">
          <cell r="A659" t="str">
            <v>BestState_task_4</v>
          </cell>
          <cell r="C659"/>
        </row>
        <row r="660">
          <cell r="A660" t="str">
            <v>BestState_task_7</v>
          </cell>
          <cell r="C660"/>
        </row>
        <row r="661">
          <cell r="A661" t="str">
            <v>BestState_task_8</v>
          </cell>
          <cell r="C661"/>
        </row>
        <row r="662">
          <cell r="A662" t="str">
            <v>BestState_task_9</v>
          </cell>
          <cell r="C662"/>
        </row>
        <row r="663">
          <cell r="A663" t="str">
            <v>BestState_task_10</v>
          </cell>
          <cell r="C663"/>
        </row>
        <row r="664">
          <cell r="A664" t="str">
            <v>BestState_task_11</v>
          </cell>
          <cell r="C664"/>
        </row>
        <row r="665">
          <cell r="A665" t="str">
            <v>BestState_task_12</v>
          </cell>
          <cell r="C665"/>
        </row>
        <row r="666">
          <cell r="A666" t="str">
            <v>BestState_task_13</v>
          </cell>
          <cell r="C666"/>
        </row>
        <row r="667">
          <cell r="A667" t="str">
            <v>BestState_task_14</v>
          </cell>
          <cell r="C667"/>
        </row>
        <row r="668">
          <cell r="A668" t="str">
            <v>BestState_task_15</v>
          </cell>
          <cell r="C668"/>
        </row>
        <row r="669">
          <cell r="A669" t="str">
            <v>BestState_task_16</v>
          </cell>
          <cell r="C669"/>
        </row>
        <row r="670">
          <cell r="A670" t="str">
            <v>BestState_task_18</v>
          </cell>
          <cell r="C670"/>
        </row>
        <row r="671">
          <cell r="A671" t="str">
            <v>BestState_task_19</v>
          </cell>
          <cell r="C671"/>
        </row>
        <row r="672">
          <cell r="A672" t="str">
            <v>Acticity_name_KingsWar</v>
          </cell>
        </row>
        <row r="673">
          <cell r="A673" t="str">
            <v>gift_name_29053</v>
          </cell>
        </row>
        <row r="674">
          <cell r="A674" t="str">
            <v>gift_desc_29053</v>
          </cell>
        </row>
        <row r="675">
          <cell r="A675" t="str">
            <v>bestStateName2010201</v>
          </cell>
        </row>
        <row r="676">
          <cell r="A676" t="str">
            <v>bestStateName2010202</v>
          </cell>
        </row>
        <row r="677">
          <cell r="A677" t="str">
            <v>bestStateName2010203</v>
          </cell>
        </row>
        <row r="678">
          <cell r="A678" t="str">
            <v>bestStateName2010204</v>
          </cell>
        </row>
        <row r="679">
          <cell r="A679" t="str">
            <v>bestStateName2010205</v>
          </cell>
        </row>
        <row r="680">
          <cell r="A680" t="str">
            <v>bestStateName2010206</v>
          </cell>
        </row>
        <row r="681">
          <cell r="A681" t="str">
            <v>bestStateName2010207</v>
          </cell>
        </row>
        <row r="682">
          <cell r="A682" t="str">
            <v>bestStateDesc2010201</v>
          </cell>
        </row>
        <row r="683">
          <cell r="A683" t="str">
            <v>bestStateDesc2010202</v>
          </cell>
        </row>
        <row r="684">
          <cell r="A684" t="str">
            <v>bestStateDesc2010203</v>
          </cell>
        </row>
        <row r="685">
          <cell r="A685" t="str">
            <v>bestStateDesc2010204</v>
          </cell>
        </row>
        <row r="686">
          <cell r="A686" t="str">
            <v>bestStateDesc2010205</v>
          </cell>
        </row>
        <row r="687">
          <cell r="A687" t="str">
            <v>bestStateDesc2010206</v>
          </cell>
        </row>
        <row r="688">
          <cell r="A688" t="str">
            <v>bestStateDesc2010207</v>
          </cell>
        </row>
        <row r="689">
          <cell r="A689" t="str">
            <v>ScoreRewardName10101</v>
          </cell>
        </row>
        <row r="690">
          <cell r="A690" t="str">
            <v>ScoreRewardName10102</v>
          </cell>
        </row>
        <row r="691">
          <cell r="A691" t="str">
            <v>ScoreRewardName10103</v>
          </cell>
        </row>
        <row r="692">
          <cell r="A692" t="str">
            <v>ScoreRewardName10104</v>
          </cell>
        </row>
        <row r="693">
          <cell r="A693" t="str">
            <v>ScoreRewardName10105</v>
          </cell>
        </row>
        <row r="694">
          <cell r="A694" t="str">
            <v>ScoreRewardName10106</v>
          </cell>
        </row>
        <row r="695">
          <cell r="A695" t="str">
            <v>ScoreRewardName10107</v>
          </cell>
        </row>
        <row r="696">
          <cell r="A696" t="str">
            <v>ScoreRewardName10108</v>
          </cell>
        </row>
        <row r="697">
          <cell r="A697" t="str">
            <v>ScoreRewardName10109</v>
          </cell>
        </row>
        <row r="698">
          <cell r="A698" t="str">
            <v>ScoreRewardName20101</v>
          </cell>
        </row>
        <row r="699">
          <cell r="A699" t="str">
            <v>ScoreRewardName20102</v>
          </cell>
        </row>
        <row r="700">
          <cell r="A700" t="str">
            <v>ScoreRewardName20103</v>
          </cell>
        </row>
        <row r="701">
          <cell r="A701" t="str">
            <v>Acticity_name_05</v>
          </cell>
        </row>
        <row r="702">
          <cell r="A702" t="str">
            <v>Acticity_name_06</v>
          </cell>
        </row>
        <row r="703">
          <cell r="A703" t="str">
            <v>gift_desc_29056</v>
          </cell>
        </row>
        <row r="704">
          <cell r="A704" t="str">
            <v>gift_name_29054</v>
          </cell>
        </row>
        <row r="705">
          <cell r="A705" t="str">
            <v>gift_desc_29054</v>
          </cell>
        </row>
        <row r="706">
          <cell r="A706" t="str">
            <v>banner_desc_103</v>
          </cell>
        </row>
        <row r="707">
          <cell r="A707" t="str">
            <v>WelfareCenter_name_103</v>
          </cell>
        </row>
        <row r="708">
          <cell r="A708" t="str">
            <v>banner_slogan_1900042</v>
          </cell>
        </row>
        <row r="709">
          <cell r="A709" t="str">
            <v>banner_slogan_1900041</v>
          </cell>
        </row>
        <row r="710">
          <cell r="A710" t="str">
            <v>banner_slogan_1900043</v>
          </cell>
        </row>
        <row r="711">
          <cell r="A711" t="str">
            <v>WelfareCenter_ui_10004</v>
          </cell>
          <cell r="C711"/>
        </row>
        <row r="712">
          <cell r="A712" t="str">
            <v>WelfareCenter_desc_10004</v>
          </cell>
          <cell r="C712"/>
        </row>
        <row r="713">
          <cell r="A713" t="str">
            <v>gift_name_29057</v>
          </cell>
          <cell r="C713"/>
        </row>
        <row r="714">
          <cell r="A714" t="str">
            <v>gift_desc_29057</v>
          </cell>
          <cell r="C714"/>
        </row>
        <row r="715">
          <cell r="A715" t="str">
            <v>gift_name_29059</v>
          </cell>
          <cell r="C715"/>
        </row>
        <row r="716">
          <cell r="A716" t="str">
            <v>gift_desc_29059</v>
          </cell>
          <cell r="C716"/>
        </row>
        <row r="717">
          <cell r="A717" t="str">
            <v>gift_name_29058</v>
          </cell>
          <cell r="C717"/>
        </row>
        <row r="718">
          <cell r="A718" t="str">
            <v>gift_desc_29058</v>
          </cell>
          <cell r="C718"/>
        </row>
        <row r="719">
          <cell r="A719" t="str">
            <v>personal_arms_name_80071</v>
          </cell>
        </row>
        <row r="720">
          <cell r="A720" t="str">
            <v>BestState_task_20</v>
          </cell>
        </row>
        <row r="721">
          <cell r="A721" t="str">
            <v>gift_desc_29073</v>
          </cell>
        </row>
        <row r="722">
          <cell r="A722" t="str">
            <v>gift_market_30days</v>
          </cell>
        </row>
        <row r="723">
          <cell r="A723" t="str">
            <v>gift_name_29065</v>
          </cell>
        </row>
        <row r="724">
          <cell r="A724" t="str">
            <v>gift_name_29072</v>
          </cell>
        </row>
        <row r="725">
          <cell r="A725" t="str">
            <v>gift_name_29074</v>
          </cell>
        </row>
        <row r="726">
          <cell r="A726" t="str">
            <v>gift_name_2907501</v>
          </cell>
        </row>
        <row r="727">
          <cell r="A727" t="str">
            <v>gift_name_2907502</v>
          </cell>
        </row>
        <row r="728">
          <cell r="A728" t="str">
            <v>gift_name_2907503</v>
          </cell>
        </row>
        <row r="729">
          <cell r="A729" t="str">
            <v>gift_name_2907504</v>
          </cell>
        </row>
        <row r="730">
          <cell r="A730" t="str">
            <v>gift_name_2907505</v>
          </cell>
        </row>
        <row r="731">
          <cell r="A731" t="str">
            <v>gift_name_2907506</v>
          </cell>
        </row>
        <row r="732">
          <cell r="A732" t="str">
            <v>gift_name_2907507</v>
          </cell>
        </row>
        <row r="733">
          <cell r="A733" t="str">
            <v>gift_name_2907508</v>
          </cell>
        </row>
        <row r="734">
          <cell r="A734" t="str">
            <v>gift_name_2907509</v>
          </cell>
        </row>
        <row r="735">
          <cell r="A735" t="str">
            <v>gift_name_2907510</v>
          </cell>
        </row>
        <row r="736">
          <cell r="A736" t="str">
            <v>gift_name_2907511</v>
          </cell>
        </row>
        <row r="737">
          <cell r="A737" t="str">
            <v>gift_name_2907512</v>
          </cell>
        </row>
        <row r="738">
          <cell r="A738" t="str">
            <v>gift_name_2907513</v>
          </cell>
        </row>
        <row r="739">
          <cell r="A739" t="str">
            <v>gift_name_2907514</v>
          </cell>
        </row>
        <row r="740">
          <cell r="A740" t="str">
            <v>gift_name_2907515</v>
          </cell>
        </row>
        <row r="741">
          <cell r="A741" t="str">
            <v>gift_name_2907516</v>
          </cell>
        </row>
        <row r="742">
          <cell r="A742" t="str">
            <v>gift_name_2907517</v>
          </cell>
        </row>
        <row r="743">
          <cell r="A743" t="str">
            <v>gift_name_2907518</v>
          </cell>
        </row>
        <row r="744">
          <cell r="A744" t="str">
            <v>gift_name_2907519</v>
          </cell>
        </row>
        <row r="745">
          <cell r="A745" t="str">
            <v>gift_name_2907520</v>
          </cell>
        </row>
        <row r="746">
          <cell r="A746" t="str">
            <v>gift_name_2907521</v>
          </cell>
        </row>
        <row r="747">
          <cell r="A747" t="str">
            <v>gift_name_2907522</v>
          </cell>
        </row>
        <row r="748">
          <cell r="A748" t="str">
            <v>gift_name_2907523</v>
          </cell>
        </row>
        <row r="749">
          <cell r="A749" t="str">
            <v>gift_name_2907524</v>
          </cell>
        </row>
        <row r="750">
          <cell r="A750" t="str">
            <v>gift_name_2907525</v>
          </cell>
        </row>
        <row r="751">
          <cell r="A751" t="str">
            <v>gift_name_2907526</v>
          </cell>
        </row>
        <row r="752">
          <cell r="A752" t="str">
            <v>gift_name_2907527</v>
          </cell>
        </row>
        <row r="753">
          <cell r="A753" t="str">
            <v>gift_name_2907528</v>
          </cell>
        </row>
        <row r="754">
          <cell r="A754" t="str">
            <v>gift_name_2907529</v>
          </cell>
        </row>
        <row r="755">
          <cell r="A755" t="str">
            <v>gift_name_2907530</v>
          </cell>
        </row>
        <row r="756">
          <cell r="A756" t="str">
            <v>gift_desc_29065</v>
          </cell>
          <cell r="C756"/>
        </row>
        <row r="757">
          <cell r="A757" t="str">
            <v>gift_desc_29072</v>
          </cell>
          <cell r="C757"/>
        </row>
        <row r="758">
          <cell r="A758" t="str">
            <v>gift_desc_29074</v>
          </cell>
          <cell r="C758"/>
        </row>
        <row r="759">
          <cell r="A759" t="str">
            <v>gift_desc_29075</v>
          </cell>
          <cell r="C759"/>
        </row>
        <row r="760">
          <cell r="A760" t="str">
            <v>gift_name_29076</v>
          </cell>
          <cell r="C760"/>
        </row>
        <row r="761">
          <cell r="A761" t="str">
            <v>gift_desc_29076</v>
          </cell>
          <cell r="C761"/>
        </row>
        <row r="762">
          <cell r="A762" t="str">
            <v>gift_name_29077</v>
          </cell>
          <cell r="C762"/>
        </row>
        <row r="763">
          <cell r="A763" t="str">
            <v>gift_desc_29077</v>
          </cell>
          <cell r="C763"/>
        </row>
        <row r="764">
          <cell r="A764" t="str">
            <v>activity_limits_01</v>
          </cell>
          <cell r="C764"/>
        </row>
        <row r="765">
          <cell r="A765" t="str">
            <v>activity_limits_02</v>
          </cell>
          <cell r="C765"/>
        </row>
        <row r="766">
          <cell r="A766" t="str">
            <v>activity_limits_03</v>
          </cell>
          <cell r="C766"/>
        </row>
        <row r="767">
          <cell r="A767" t="str">
            <v>activity_limits_04</v>
          </cell>
          <cell r="C767"/>
        </row>
        <row r="768">
          <cell r="A768" t="str">
            <v>Cross_Service_killing_01</v>
          </cell>
          <cell r="C768"/>
        </row>
        <row r="769">
          <cell r="A769" t="str">
            <v>Cross_Service_killing_02</v>
          </cell>
          <cell r="C769"/>
        </row>
        <row r="770">
          <cell r="A770" t="str">
            <v>Cross_Service_killing_03</v>
          </cell>
          <cell r="C770"/>
        </row>
        <row r="771">
          <cell r="A771" t="str">
            <v>Cross_Service_killing_04</v>
          </cell>
          <cell r="C771"/>
        </row>
        <row r="772">
          <cell r="A772" t="str">
            <v>Cross_Service_killing_05</v>
          </cell>
          <cell r="C772"/>
        </row>
        <row r="773">
          <cell r="A773" t="str">
            <v>Cross_Service_killing_06</v>
          </cell>
          <cell r="C773"/>
        </row>
        <row r="774">
          <cell r="A774" t="str">
            <v>Cross_Service_killing_07</v>
          </cell>
          <cell r="C774"/>
        </row>
        <row r="775">
          <cell r="A775" t="str">
            <v>Cross_Service_killing_08</v>
          </cell>
          <cell r="C775"/>
        </row>
        <row r="776">
          <cell r="A776" t="str">
            <v>Cross_Service_killing_09</v>
          </cell>
          <cell r="C776"/>
        </row>
        <row r="777">
          <cell r="A777" t="str">
            <v>Cross_Service_killing_10</v>
          </cell>
          <cell r="C777"/>
        </row>
        <row r="778">
          <cell r="A778" t="str">
            <v>Cross_Service_killing_11</v>
          </cell>
          <cell r="C778"/>
        </row>
        <row r="779">
          <cell r="A779" t="str">
            <v>Cross_Service_killing_12</v>
          </cell>
          <cell r="C779"/>
        </row>
        <row r="780">
          <cell r="A780" t="str">
            <v>Cross_Service_killing_13</v>
          </cell>
          <cell r="C780"/>
        </row>
        <row r="781">
          <cell r="A781" t="str">
            <v>Cross_Service_killing_14</v>
          </cell>
          <cell r="C781"/>
        </row>
        <row r="782">
          <cell r="A782" t="str">
            <v>gift_name_29084</v>
          </cell>
          <cell r="C782"/>
        </row>
        <row r="783">
          <cell r="A783" t="str">
            <v>gift_desc_29084</v>
          </cell>
          <cell r="C783"/>
        </row>
        <row r="784">
          <cell r="A784" t="str">
            <v>gift_name_29086</v>
          </cell>
          <cell r="C784"/>
        </row>
        <row r="785">
          <cell r="A785" t="str">
            <v>gift_desc_2908601</v>
          </cell>
          <cell r="C785"/>
        </row>
        <row r="786">
          <cell r="A786" t="str">
            <v>gift_desc_2908602</v>
          </cell>
          <cell r="C786"/>
        </row>
        <row r="787">
          <cell r="A787" t="str">
            <v>gift_desc_2908603</v>
          </cell>
          <cell r="C787"/>
        </row>
        <row r="788">
          <cell r="A788" t="str">
            <v>gift_desc_2908604</v>
          </cell>
          <cell r="C788"/>
        </row>
        <row r="789">
          <cell r="A789" t="str">
            <v>gift_desc_2908605</v>
          </cell>
          <cell r="C789"/>
        </row>
        <row r="790">
          <cell r="A790" t="str">
            <v>gift_name_29089</v>
          </cell>
          <cell r="C790"/>
        </row>
        <row r="791">
          <cell r="A791" t="str">
            <v>gift_desc_29089</v>
          </cell>
          <cell r="C791"/>
        </row>
        <row r="792">
          <cell r="A792" t="str">
            <v>gift_name_29087</v>
          </cell>
          <cell r="C792"/>
        </row>
        <row r="793">
          <cell r="A793" t="str">
            <v>gift_desc_29087</v>
          </cell>
          <cell r="C793"/>
        </row>
      </sheetData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4"/>
  <sheetViews>
    <sheetView workbookViewId="0">
      <pane xSplit="2" ySplit="4" topLeftCell="C5" activePane="bottomRight" state="frozen"/>
      <selection pane="topRight"/>
      <selection pane="bottomLeft"/>
      <selection pane="bottomRight" activeCell="E29" sqref="E29"/>
    </sheetView>
  </sheetViews>
  <sheetFormatPr defaultColWidth="9" defaultRowHeight="16.5"/>
  <cols>
    <col min="1" max="1" width="11.125" style="3" customWidth="1"/>
    <col min="2" max="2" width="15.5" style="5" customWidth="1"/>
    <col min="3" max="3" width="8" style="3" customWidth="1"/>
    <col min="4" max="4" width="11.375" style="37" customWidth="1"/>
    <col min="5" max="5" width="14.375" style="37" customWidth="1"/>
    <col min="6" max="6" width="10.25" style="37" customWidth="1"/>
    <col min="7" max="7" width="53" style="38" customWidth="1"/>
    <col min="8" max="8" width="25.75" style="3" customWidth="1"/>
    <col min="9" max="9" width="15.125" style="3" customWidth="1"/>
    <col min="10" max="11" width="13.125" style="3" customWidth="1"/>
    <col min="12" max="13" width="13.125" style="37" customWidth="1"/>
    <col min="14" max="14" width="18.625" style="3" customWidth="1"/>
    <col min="15" max="16" width="11.125" style="3" customWidth="1"/>
    <col min="17" max="17" width="21.375" style="37" customWidth="1"/>
    <col min="18" max="18" width="17.75" style="37" customWidth="1"/>
    <col min="19" max="19" width="22.625" style="5" bestFit="1" customWidth="1"/>
    <col min="20" max="20" width="13.75" style="37" customWidth="1"/>
    <col min="21" max="21" width="30.25" style="37" customWidth="1"/>
    <col min="22" max="22" width="22.25" style="37" customWidth="1"/>
    <col min="23" max="23" width="22.25" style="37" bestFit="1" customWidth="1"/>
    <col min="24" max="24" width="23.5" style="37" bestFit="1" customWidth="1"/>
    <col min="26" max="16384" width="9" style="37"/>
  </cols>
  <sheetData>
    <row r="1" spans="1:24" s="35" customFormat="1">
      <c r="A1" s="39" t="s">
        <v>0</v>
      </c>
      <c r="B1" s="40" t="s">
        <v>1</v>
      </c>
      <c r="C1" s="39" t="s">
        <v>2</v>
      </c>
      <c r="D1" s="41" t="s">
        <v>3</v>
      </c>
      <c r="E1" s="41" t="s">
        <v>4</v>
      </c>
      <c r="F1" s="41" t="s">
        <v>5</v>
      </c>
      <c r="G1" s="42" t="s">
        <v>6</v>
      </c>
      <c r="H1" s="39" t="s">
        <v>7</v>
      </c>
      <c r="I1" s="39" t="s">
        <v>8</v>
      </c>
      <c r="J1" s="39" t="s">
        <v>9</v>
      </c>
      <c r="K1" s="39" t="s">
        <v>10</v>
      </c>
      <c r="L1" s="41" t="s">
        <v>11</v>
      </c>
      <c r="M1" s="48" t="s">
        <v>12</v>
      </c>
      <c r="N1" s="39" t="s">
        <v>13</v>
      </c>
      <c r="O1" s="39" t="s">
        <v>14</v>
      </c>
      <c r="P1" s="39" t="s">
        <v>15</v>
      </c>
      <c r="Q1" s="41" t="s">
        <v>1</v>
      </c>
      <c r="R1" s="53" t="s">
        <v>16</v>
      </c>
      <c r="S1" s="54" t="s">
        <v>17</v>
      </c>
      <c r="T1" s="55" t="s">
        <v>18</v>
      </c>
      <c r="U1" s="41" t="s">
        <v>19</v>
      </c>
      <c r="V1" s="41" t="s">
        <v>20</v>
      </c>
      <c r="W1" s="59" t="s">
        <v>403</v>
      </c>
      <c r="X1" s="60" t="s">
        <v>405</v>
      </c>
    </row>
    <row r="2" spans="1:24" s="35" customFormat="1">
      <c r="A2" s="43" t="s">
        <v>21</v>
      </c>
      <c r="B2" s="40" t="s">
        <v>22</v>
      </c>
      <c r="C2" s="43" t="s">
        <v>23</v>
      </c>
      <c r="D2" s="43" t="s">
        <v>23</v>
      </c>
      <c r="E2" s="43" t="s">
        <v>23</v>
      </c>
      <c r="F2" s="43" t="s">
        <v>21</v>
      </c>
      <c r="G2" s="44" t="s">
        <v>24</v>
      </c>
      <c r="H2" s="43" t="s">
        <v>23</v>
      </c>
      <c r="I2" s="74" t="s">
        <v>432</v>
      </c>
      <c r="J2" s="43" t="s">
        <v>21</v>
      </c>
      <c r="K2" s="43" t="s">
        <v>21</v>
      </c>
      <c r="L2" s="43" t="s">
        <v>21</v>
      </c>
      <c r="M2" s="50" t="s">
        <v>21</v>
      </c>
      <c r="N2" s="43" t="s">
        <v>21</v>
      </c>
      <c r="O2" s="74" t="s">
        <v>431</v>
      </c>
      <c r="P2" s="43" t="s">
        <v>21</v>
      </c>
      <c r="Q2" s="41" t="s">
        <v>22</v>
      </c>
      <c r="R2" s="55" t="s">
        <v>21</v>
      </c>
      <c r="S2" s="54" t="s">
        <v>22</v>
      </c>
      <c r="T2" s="55" t="s">
        <v>22</v>
      </c>
      <c r="U2" s="41" t="s">
        <v>22</v>
      </c>
      <c r="V2" s="41" t="s">
        <v>23</v>
      </c>
      <c r="W2" s="54" t="s">
        <v>22</v>
      </c>
      <c r="X2" s="54" t="s">
        <v>22</v>
      </c>
    </row>
    <row r="3" spans="1:24" s="35" customFormat="1">
      <c r="A3" s="39" t="s">
        <v>0</v>
      </c>
      <c r="B3" s="40" t="s">
        <v>26</v>
      </c>
      <c r="C3" s="39" t="s">
        <v>27</v>
      </c>
      <c r="D3" s="41" t="s">
        <v>28</v>
      </c>
      <c r="E3" s="41" t="s">
        <v>29</v>
      </c>
      <c r="F3" s="41" t="s">
        <v>30</v>
      </c>
      <c r="G3" s="42" t="s">
        <v>31</v>
      </c>
      <c r="H3" s="39" t="s">
        <v>32</v>
      </c>
      <c r="I3" s="39" t="s">
        <v>33</v>
      </c>
      <c r="J3" s="39" t="s">
        <v>34</v>
      </c>
      <c r="K3" s="39" t="s">
        <v>35</v>
      </c>
      <c r="L3" s="41" t="s">
        <v>36</v>
      </c>
      <c r="M3" s="48" t="s">
        <v>37</v>
      </c>
      <c r="N3" s="39" t="s">
        <v>38</v>
      </c>
      <c r="O3" s="39" t="s">
        <v>39</v>
      </c>
      <c r="P3" s="39" t="s">
        <v>40</v>
      </c>
      <c r="Q3" s="41" t="s">
        <v>41</v>
      </c>
      <c r="R3" s="53" t="s">
        <v>42</v>
      </c>
      <c r="S3" s="56" t="s">
        <v>43</v>
      </c>
      <c r="T3" s="53" t="s">
        <v>44</v>
      </c>
      <c r="U3" s="41" t="s">
        <v>45</v>
      </c>
      <c r="V3" s="41" t="s">
        <v>46</v>
      </c>
      <c r="W3" s="59" t="s">
        <v>404</v>
      </c>
      <c r="X3" s="60" t="s">
        <v>406</v>
      </c>
    </row>
    <row r="4" spans="1:24" s="35" customFormat="1">
      <c r="A4" s="39" t="s">
        <v>47</v>
      </c>
      <c r="B4" s="40" t="s">
        <v>47</v>
      </c>
      <c r="C4" s="39" t="s">
        <v>48</v>
      </c>
      <c r="D4" s="41" t="s">
        <v>47</v>
      </c>
      <c r="E4" s="41" t="s">
        <v>47</v>
      </c>
      <c r="F4" s="41" t="s">
        <v>49</v>
      </c>
      <c r="G4" s="44" t="s">
        <v>47</v>
      </c>
      <c r="H4" s="39" t="s">
        <v>47</v>
      </c>
      <c r="I4" s="39" t="s">
        <v>47</v>
      </c>
      <c r="J4" s="39" t="s">
        <v>47</v>
      </c>
      <c r="K4" s="39" t="s">
        <v>47</v>
      </c>
      <c r="L4" s="41" t="s">
        <v>47</v>
      </c>
      <c r="M4" s="48" t="s">
        <v>47</v>
      </c>
      <c r="N4" s="39" t="s">
        <v>47</v>
      </c>
      <c r="O4" s="39" t="s">
        <v>47</v>
      </c>
      <c r="P4" s="39" t="s">
        <v>47</v>
      </c>
      <c r="Q4" s="40" t="s">
        <v>47</v>
      </c>
      <c r="R4" s="53" t="s">
        <v>48</v>
      </c>
      <c r="S4" s="56" t="s">
        <v>48</v>
      </c>
      <c r="T4" s="53" t="s">
        <v>48</v>
      </c>
      <c r="U4" s="41" t="s">
        <v>48</v>
      </c>
      <c r="V4" s="41" t="s">
        <v>48</v>
      </c>
      <c r="W4" s="41" t="s">
        <v>48</v>
      </c>
      <c r="X4" s="41" t="s">
        <v>48</v>
      </c>
    </row>
    <row r="5" spans="1:24">
      <c r="A5" s="3" t="s">
        <v>50</v>
      </c>
      <c r="B5" s="5" t="s">
        <v>51</v>
      </c>
      <c r="C5" s="3">
        <v>1</v>
      </c>
      <c r="D5" s="37">
        <v>1</v>
      </c>
      <c r="E5" s="37">
        <v>1</v>
      </c>
      <c r="F5" s="37">
        <v>2</v>
      </c>
      <c r="G5" s="41"/>
      <c r="H5" s="45">
        <v>1</v>
      </c>
      <c r="I5" s="11" t="s">
        <v>52</v>
      </c>
      <c r="J5" s="3">
        <v>-1</v>
      </c>
      <c r="K5" s="3">
        <v>3300</v>
      </c>
      <c r="L5" s="37">
        <v>300</v>
      </c>
      <c r="N5" s="3">
        <v>0</v>
      </c>
      <c r="O5" s="3" t="s">
        <v>53</v>
      </c>
      <c r="P5" s="3">
        <v>110</v>
      </c>
      <c r="Q5" s="57" t="s">
        <v>54</v>
      </c>
      <c r="R5" s="37">
        <v>2</v>
      </c>
      <c r="S5" s="54" t="s">
        <v>55</v>
      </c>
      <c r="T5" s="55" t="s">
        <v>56</v>
      </c>
      <c r="U5" s="37" t="s">
        <v>57</v>
      </c>
      <c r="V5" s="37">
        <v>1</v>
      </c>
    </row>
    <row r="6" spans="1:24">
      <c r="A6" s="3">
        <v>1000106</v>
      </c>
      <c r="B6" s="5" t="s">
        <v>58</v>
      </c>
      <c r="C6" s="3">
        <v>1</v>
      </c>
      <c r="D6" s="37">
        <v>1</v>
      </c>
      <c r="E6" s="37">
        <v>1</v>
      </c>
      <c r="F6" s="37">
        <v>2</v>
      </c>
      <c r="G6" s="41"/>
      <c r="H6" s="45">
        <v>0</v>
      </c>
      <c r="I6" s="11" t="s">
        <v>59</v>
      </c>
      <c r="J6" s="51">
        <v>-1</v>
      </c>
      <c r="K6" s="3">
        <v>2160000</v>
      </c>
      <c r="L6" s="37">
        <v>0</v>
      </c>
      <c r="N6" s="3">
        <v>0</v>
      </c>
      <c r="O6" s="3" t="s">
        <v>60</v>
      </c>
      <c r="P6" s="3">
        <v>200</v>
      </c>
      <c r="Q6" s="57" t="s">
        <v>61</v>
      </c>
      <c r="R6" s="37">
        <v>2</v>
      </c>
      <c r="S6" s="54" t="s">
        <v>62</v>
      </c>
      <c r="T6" s="55" t="s">
        <v>63</v>
      </c>
      <c r="U6" s="37" t="s">
        <v>64</v>
      </c>
      <c r="V6" s="37">
        <v>0</v>
      </c>
    </row>
    <row r="7" spans="1:24">
      <c r="A7" s="3">
        <v>1000107</v>
      </c>
      <c r="B7" s="5" t="s">
        <v>65</v>
      </c>
      <c r="C7" s="3">
        <v>1</v>
      </c>
      <c r="D7" s="37">
        <v>1</v>
      </c>
      <c r="E7" s="37">
        <v>1</v>
      </c>
      <c r="F7" s="37">
        <v>2</v>
      </c>
      <c r="G7" s="41"/>
      <c r="H7" s="45">
        <v>1</v>
      </c>
      <c r="I7" s="11" t="s">
        <v>66</v>
      </c>
      <c r="J7" s="3">
        <v>1382400</v>
      </c>
      <c r="K7" s="3">
        <v>42900</v>
      </c>
      <c r="L7" s="37">
        <v>300</v>
      </c>
      <c r="N7" s="3">
        <v>86400</v>
      </c>
      <c r="O7" s="3" t="s">
        <v>53</v>
      </c>
      <c r="P7" s="3">
        <v>150</v>
      </c>
      <c r="Q7" s="57" t="s">
        <v>54</v>
      </c>
      <c r="R7" s="37">
        <v>2</v>
      </c>
      <c r="S7" s="54" t="s">
        <v>56</v>
      </c>
      <c r="T7" s="55" t="s">
        <v>56</v>
      </c>
      <c r="U7" s="37" t="s">
        <v>67</v>
      </c>
      <c r="V7" s="37">
        <v>1</v>
      </c>
    </row>
    <row r="8" spans="1:24">
      <c r="A8" s="3">
        <v>1000108</v>
      </c>
      <c r="B8" s="5" t="s">
        <v>68</v>
      </c>
      <c r="C8" s="3">
        <v>1</v>
      </c>
      <c r="D8" s="37">
        <v>1</v>
      </c>
      <c r="E8" s="37">
        <v>1</v>
      </c>
      <c r="F8" s="37">
        <v>2</v>
      </c>
      <c r="G8" s="41"/>
      <c r="H8" s="45">
        <v>1</v>
      </c>
      <c r="I8" s="11" t="s">
        <v>59</v>
      </c>
      <c r="J8" s="3">
        <v>604800</v>
      </c>
      <c r="L8" s="37">
        <v>300</v>
      </c>
      <c r="N8" s="3">
        <v>0</v>
      </c>
      <c r="O8" s="3" t="s">
        <v>53</v>
      </c>
      <c r="P8" s="3">
        <v>111</v>
      </c>
      <c r="Q8" s="57" t="s">
        <v>54</v>
      </c>
      <c r="R8" s="37">
        <v>2</v>
      </c>
      <c r="S8" s="54" t="s">
        <v>55</v>
      </c>
      <c r="T8" s="55" t="s">
        <v>55</v>
      </c>
      <c r="U8" s="37" t="s">
        <v>57</v>
      </c>
      <c r="V8" s="37">
        <v>1</v>
      </c>
    </row>
    <row r="9" spans="1:24">
      <c r="A9" s="3">
        <v>1000200</v>
      </c>
      <c r="B9" s="5" t="s">
        <v>69</v>
      </c>
      <c r="C9" s="3">
        <v>1</v>
      </c>
      <c r="D9" s="37">
        <v>1</v>
      </c>
      <c r="E9" s="37">
        <v>1</v>
      </c>
      <c r="F9" s="37">
        <v>2</v>
      </c>
      <c r="G9" s="41"/>
      <c r="H9" s="45">
        <v>0</v>
      </c>
      <c r="I9" s="11" t="s">
        <v>59</v>
      </c>
      <c r="J9" s="3">
        <v>-1</v>
      </c>
      <c r="K9" s="3">
        <f>8*24*60*60</f>
        <v>691200</v>
      </c>
      <c r="L9" s="37">
        <v>0</v>
      </c>
      <c r="N9" s="3">
        <v>0</v>
      </c>
      <c r="O9" s="3" t="s">
        <v>59</v>
      </c>
      <c r="P9" s="3">
        <v>100</v>
      </c>
      <c r="Q9" s="57" t="s">
        <v>70</v>
      </c>
      <c r="R9" s="37">
        <v>2</v>
      </c>
      <c r="S9" s="54" t="s">
        <v>71</v>
      </c>
      <c r="T9" s="55"/>
      <c r="V9" s="37">
        <v>1</v>
      </c>
    </row>
    <row r="10" spans="1:24">
      <c r="A10" s="3">
        <v>1000300</v>
      </c>
      <c r="B10" s="5" t="s">
        <v>72</v>
      </c>
      <c r="C10" s="3">
        <v>1</v>
      </c>
      <c r="D10" s="37">
        <v>1</v>
      </c>
      <c r="E10" s="37">
        <v>1</v>
      </c>
      <c r="F10" s="37">
        <v>202</v>
      </c>
      <c r="G10" s="41" t="s">
        <v>73</v>
      </c>
      <c r="H10" s="45" t="s">
        <v>74</v>
      </c>
      <c r="I10" s="11" t="s">
        <v>445</v>
      </c>
      <c r="J10" s="3">
        <f>7*24*3600-1</f>
        <v>604799</v>
      </c>
      <c r="K10" s="3">
        <f>7*24*3600-1</f>
        <v>604799</v>
      </c>
      <c r="L10" s="37">
        <v>0</v>
      </c>
      <c r="N10" s="3">
        <v>0</v>
      </c>
      <c r="O10" s="3" t="s">
        <v>53</v>
      </c>
      <c r="P10" s="3">
        <v>101</v>
      </c>
      <c r="Q10" s="57" t="s">
        <v>75</v>
      </c>
      <c r="R10" s="37">
        <v>2</v>
      </c>
      <c r="S10" s="54" t="s">
        <v>76</v>
      </c>
      <c r="T10" s="54"/>
      <c r="V10" s="37">
        <v>1</v>
      </c>
    </row>
    <row r="11" spans="1:24">
      <c r="A11" s="3">
        <v>1000301</v>
      </c>
      <c r="B11" s="5" t="s">
        <v>77</v>
      </c>
      <c r="C11" s="3">
        <v>1</v>
      </c>
      <c r="D11" s="37">
        <v>1</v>
      </c>
      <c r="E11" s="37">
        <v>0</v>
      </c>
      <c r="F11" s="37">
        <v>203</v>
      </c>
      <c r="G11" s="41"/>
      <c r="H11" s="45">
        <v>0</v>
      </c>
      <c r="I11" s="81" t="s">
        <v>446</v>
      </c>
      <c r="J11" s="3">
        <f>7*24*3600-1</f>
        <v>604799</v>
      </c>
      <c r="K11" s="3">
        <f>7*24*3600-1</f>
        <v>604799</v>
      </c>
      <c r="L11" s="37">
        <v>0</v>
      </c>
      <c r="N11" s="3">
        <v>0</v>
      </c>
      <c r="O11" s="3" t="s">
        <v>53</v>
      </c>
      <c r="P11" s="3">
        <v>102</v>
      </c>
      <c r="Q11" s="57" t="s">
        <v>78</v>
      </c>
      <c r="R11" s="37">
        <v>2</v>
      </c>
      <c r="S11" s="54" t="s">
        <v>79</v>
      </c>
      <c r="T11" s="54"/>
      <c r="V11" s="37">
        <v>1</v>
      </c>
    </row>
    <row r="12" spans="1:24" s="36" customFormat="1">
      <c r="A12" s="46">
        <v>1000103</v>
      </c>
      <c r="B12" s="47" t="s">
        <v>80</v>
      </c>
      <c r="C12" s="46">
        <v>1</v>
      </c>
      <c r="D12" s="36">
        <v>1</v>
      </c>
      <c r="E12" s="36">
        <v>1</v>
      </c>
      <c r="F12" s="36">
        <v>2</v>
      </c>
      <c r="G12" s="48"/>
      <c r="H12" s="49">
        <v>1</v>
      </c>
      <c r="I12" s="82" t="s">
        <v>447</v>
      </c>
      <c r="J12" s="46">
        <v>86399</v>
      </c>
      <c r="K12" s="46">
        <v>86399</v>
      </c>
      <c r="L12" s="52">
        <v>0</v>
      </c>
      <c r="M12" s="36">
        <f>6*24*3600</f>
        <v>518400</v>
      </c>
      <c r="N12" s="46">
        <v>604800</v>
      </c>
      <c r="O12" s="46" t="s">
        <v>59</v>
      </c>
      <c r="P12" s="46">
        <v>140</v>
      </c>
      <c r="Q12" s="48" t="s">
        <v>81</v>
      </c>
      <c r="R12" s="36">
        <v>3</v>
      </c>
      <c r="S12" s="68" t="s">
        <v>417</v>
      </c>
      <c r="T12" s="58"/>
      <c r="U12" s="36" t="s">
        <v>82</v>
      </c>
      <c r="V12" s="36">
        <v>0</v>
      </c>
      <c r="W12" s="61" t="s">
        <v>407</v>
      </c>
      <c r="X12" s="61" t="s">
        <v>408</v>
      </c>
    </row>
    <row r="13" spans="1:24">
      <c r="N13" s="37"/>
      <c r="Q13" s="3"/>
      <c r="S13" s="37"/>
      <c r="T13" s="5"/>
    </row>
    <row r="14" spans="1:24">
      <c r="L14" s="3"/>
      <c r="M14" s="3"/>
      <c r="Q14" s="3"/>
      <c r="S14" s="37"/>
      <c r="T14" s="5"/>
    </row>
  </sheetData>
  <phoneticPr fontId="33" type="noConversion"/>
  <conditionalFormatting sqref="A10">
    <cfRule type="duplicateValues" dxfId="4" priority="3"/>
  </conditionalFormatting>
  <conditionalFormatting sqref="A11">
    <cfRule type="duplicateValues" dxfId="3" priority="2"/>
  </conditionalFormatting>
  <conditionalFormatting sqref="A12">
    <cfRule type="duplicateValues" dxfId="2" priority="1"/>
  </conditionalFormatting>
  <conditionalFormatting sqref="A5:A8">
    <cfRule type="duplicateValues" dxfId="1" priority="4"/>
  </conditionalFormatting>
  <conditionalFormatting sqref="A1:A4 A9 A13:A1048576">
    <cfRule type="duplicateValues" dxfId="0" priority="8"/>
  </conditionalFormatting>
  <pageMargins left="0.69930555555555596" right="0.69930555555555596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8"/>
  <sheetViews>
    <sheetView workbookViewId="0">
      <pane xSplit="4" ySplit="4" topLeftCell="E5" activePane="bottomRight" state="frozen"/>
      <selection pane="topRight"/>
      <selection pane="bottomLeft"/>
      <selection pane="bottomRight" activeCell="G32" sqref="G32"/>
    </sheetView>
  </sheetViews>
  <sheetFormatPr defaultColWidth="9.125" defaultRowHeight="16.5"/>
  <cols>
    <col min="1" max="2" width="9.625" style="11" customWidth="1"/>
    <col min="3" max="3" width="12.25" style="11" customWidth="1"/>
    <col min="4" max="4" width="8" style="11" customWidth="1"/>
    <col min="5" max="5" width="21.5" style="24" customWidth="1"/>
    <col min="6" max="6" width="20.5" style="24" customWidth="1"/>
    <col min="7" max="7" width="12.25" style="11" customWidth="1"/>
    <col min="8" max="8" width="13.375" style="11" customWidth="1"/>
    <col min="9" max="9" width="12.25" style="11" bestFit="1" customWidth="1"/>
    <col min="10" max="10" width="21.75" style="11" customWidth="1"/>
    <col min="11" max="11" width="16.625" style="11" customWidth="1"/>
    <col min="12" max="13" width="12.25" style="11" customWidth="1"/>
    <col min="14" max="14" width="35.25" style="11" customWidth="1"/>
    <col min="15" max="15" width="66.625" style="11" customWidth="1"/>
    <col min="16" max="16" width="45.75" style="11" customWidth="1"/>
    <col min="17" max="17" width="45.125" style="11" customWidth="1"/>
    <col min="18" max="18" width="16.25" style="37" bestFit="1" customWidth="1"/>
    <col min="19" max="16384" width="9.125" style="25"/>
  </cols>
  <sheetData>
    <row r="1" spans="1:18" s="22" customFormat="1">
      <c r="A1" s="6" t="s">
        <v>0</v>
      </c>
      <c r="B1" s="6" t="s">
        <v>83</v>
      </c>
      <c r="C1" s="6" t="s">
        <v>1</v>
      </c>
      <c r="D1" s="6" t="s">
        <v>84</v>
      </c>
      <c r="E1" s="26" t="s">
        <v>85</v>
      </c>
      <c r="F1" s="27" t="s">
        <v>86</v>
      </c>
      <c r="G1" s="28" t="s">
        <v>87</v>
      </c>
      <c r="H1" s="28" t="s">
        <v>88</v>
      </c>
      <c r="I1" s="28" t="s">
        <v>449</v>
      </c>
      <c r="J1" s="6" t="s">
        <v>89</v>
      </c>
      <c r="K1" s="6" t="s">
        <v>90</v>
      </c>
      <c r="L1" s="6" t="s">
        <v>91</v>
      </c>
      <c r="M1" s="6" t="s">
        <v>92</v>
      </c>
      <c r="N1" s="6" t="s">
        <v>93</v>
      </c>
      <c r="O1" s="28" t="s">
        <v>94</v>
      </c>
      <c r="P1" s="6" t="s">
        <v>95</v>
      </c>
      <c r="Q1" s="6" t="s">
        <v>95</v>
      </c>
      <c r="R1" s="76" t="s">
        <v>429</v>
      </c>
    </row>
    <row r="2" spans="1:18" s="22" customFormat="1">
      <c r="A2" s="6" t="s">
        <v>21</v>
      </c>
      <c r="B2" s="6" t="s">
        <v>21</v>
      </c>
      <c r="C2" s="6" t="s">
        <v>22</v>
      </c>
      <c r="D2" s="6"/>
      <c r="E2" s="26" t="s">
        <v>22</v>
      </c>
      <c r="F2" s="27" t="s">
        <v>22</v>
      </c>
      <c r="G2" s="28" t="s">
        <v>23</v>
      </c>
      <c r="H2" s="28" t="s">
        <v>96</v>
      </c>
      <c r="I2" s="28" t="s">
        <v>450</v>
      </c>
      <c r="J2" s="6" t="s">
        <v>97</v>
      </c>
      <c r="K2" s="6" t="s">
        <v>24</v>
      </c>
      <c r="L2" s="6" t="s">
        <v>21</v>
      </c>
      <c r="M2" s="6" t="s">
        <v>21</v>
      </c>
      <c r="N2" s="6" t="s">
        <v>98</v>
      </c>
      <c r="O2" s="28" t="s">
        <v>24</v>
      </c>
      <c r="P2" s="6" t="s">
        <v>99</v>
      </c>
      <c r="Q2" s="6" t="s">
        <v>99</v>
      </c>
      <c r="R2" s="77" t="s">
        <v>433</v>
      </c>
    </row>
    <row r="3" spans="1:18" s="22" customFormat="1">
      <c r="A3" s="6" t="s">
        <v>0</v>
      </c>
      <c r="B3" s="6" t="s">
        <v>100</v>
      </c>
      <c r="C3" s="6" t="s">
        <v>26</v>
      </c>
      <c r="D3" s="4"/>
      <c r="E3" s="26" t="s">
        <v>101</v>
      </c>
      <c r="F3" s="27" t="s">
        <v>102</v>
      </c>
      <c r="G3" s="28" t="s">
        <v>103</v>
      </c>
      <c r="H3" s="28" t="s">
        <v>104</v>
      </c>
      <c r="I3" s="28" t="s">
        <v>451</v>
      </c>
      <c r="J3" s="6" t="s">
        <v>105</v>
      </c>
      <c r="K3" s="6" t="s">
        <v>106</v>
      </c>
      <c r="L3" s="6" t="s">
        <v>107</v>
      </c>
      <c r="M3" s="6" t="s">
        <v>108</v>
      </c>
      <c r="N3" s="6" t="s">
        <v>109</v>
      </c>
      <c r="O3" s="28" t="s">
        <v>110</v>
      </c>
      <c r="P3" s="6" t="s">
        <v>111</v>
      </c>
      <c r="Q3" s="6" t="s">
        <v>112</v>
      </c>
      <c r="R3" s="78" t="s">
        <v>424</v>
      </c>
    </row>
    <row r="4" spans="1:18" s="22" customFormat="1">
      <c r="A4" s="6" t="s">
        <v>47</v>
      </c>
      <c r="B4" s="6" t="s">
        <v>47</v>
      </c>
      <c r="C4" s="6" t="s">
        <v>47</v>
      </c>
      <c r="D4" s="6"/>
      <c r="E4" s="26" t="s">
        <v>47</v>
      </c>
      <c r="F4" s="27" t="s">
        <v>48</v>
      </c>
      <c r="G4" s="28" t="s">
        <v>47</v>
      </c>
      <c r="H4" s="28" t="s">
        <v>47</v>
      </c>
      <c r="I4" s="28" t="s">
        <v>47</v>
      </c>
      <c r="J4" s="6" t="s">
        <v>47</v>
      </c>
      <c r="K4" s="6" t="s">
        <v>47</v>
      </c>
      <c r="L4" s="6" t="s">
        <v>47</v>
      </c>
      <c r="M4" s="6" t="s">
        <v>47</v>
      </c>
      <c r="N4" s="6" t="s">
        <v>47</v>
      </c>
      <c r="O4" s="28" t="s">
        <v>47</v>
      </c>
      <c r="P4" s="6" t="s">
        <v>47</v>
      </c>
      <c r="Q4" s="6" t="s">
        <v>47</v>
      </c>
      <c r="R4" s="79" t="s">
        <v>48</v>
      </c>
    </row>
    <row r="5" spans="1:18" s="23" customFormat="1">
      <c r="A5" s="29" t="s">
        <v>114</v>
      </c>
      <c r="B5" s="29">
        <v>1000300</v>
      </c>
      <c r="C5" s="29" t="s">
        <v>115</v>
      </c>
      <c r="D5" s="29" t="s">
        <v>116</v>
      </c>
      <c r="E5" s="30" t="str">
        <f>"bestStateName"&amp;$A5</f>
        <v>bestStateName2010201</v>
      </c>
      <c r="F5" s="30" t="str">
        <f>"bestStateDesc"&amp;$A5</f>
        <v>bestStateDesc2010201</v>
      </c>
      <c r="G5" s="29"/>
      <c r="H5" s="71">
        <v>0.5</v>
      </c>
      <c r="I5" s="71">
        <v>1</v>
      </c>
      <c r="J5" s="31"/>
      <c r="K5" s="32" t="s">
        <v>117</v>
      </c>
      <c r="L5" s="33" t="s">
        <v>118</v>
      </c>
      <c r="M5" s="33">
        <f>86400-L5</f>
        <v>84600</v>
      </c>
      <c r="N5" s="32" t="s">
        <v>119</v>
      </c>
      <c r="O5" s="34" t="s">
        <v>386</v>
      </c>
      <c r="P5" s="32" t="s">
        <v>120</v>
      </c>
      <c r="Q5" s="34"/>
      <c r="R5" s="37"/>
    </row>
    <row r="6" spans="1:18" s="23" customFormat="1">
      <c r="A6" s="29" t="s">
        <v>121</v>
      </c>
      <c r="B6" s="29">
        <v>1000300</v>
      </c>
      <c r="C6" s="29" t="s">
        <v>122</v>
      </c>
      <c r="D6" s="29" t="s">
        <v>123</v>
      </c>
      <c r="E6" s="30" t="str">
        <f t="shared" ref="E6:E11" si="0">"bestStateName"&amp;$A6</f>
        <v>bestStateName2010202</v>
      </c>
      <c r="F6" s="30" t="str">
        <f t="shared" ref="F6:F11" si="1">"bestStateDesc"&amp;$A6</f>
        <v>bestStateDesc2010202</v>
      </c>
      <c r="G6" s="29"/>
      <c r="H6" s="71">
        <v>1.2</v>
      </c>
      <c r="I6" s="71">
        <v>1</v>
      </c>
      <c r="J6" s="31"/>
      <c r="K6" s="32" t="s">
        <v>124</v>
      </c>
      <c r="L6" s="33" t="s">
        <v>118</v>
      </c>
      <c r="M6" s="33">
        <f t="shared" ref="M6:M11" si="2">86400-L6</f>
        <v>84600</v>
      </c>
      <c r="N6" s="32" t="s">
        <v>125</v>
      </c>
      <c r="O6" s="34" t="s">
        <v>387</v>
      </c>
      <c r="P6" s="32" t="s">
        <v>120</v>
      </c>
      <c r="Q6" s="34"/>
      <c r="R6" s="37"/>
    </row>
    <row r="7" spans="1:18" s="23" customFormat="1">
      <c r="A7" s="29" t="s">
        <v>126</v>
      </c>
      <c r="B7" s="29">
        <v>1000300</v>
      </c>
      <c r="C7" s="29" t="s">
        <v>127</v>
      </c>
      <c r="D7" s="29" t="s">
        <v>128</v>
      </c>
      <c r="E7" s="30" t="str">
        <f t="shared" si="0"/>
        <v>bestStateName2010203</v>
      </c>
      <c r="F7" s="30" t="str">
        <f t="shared" si="1"/>
        <v>bestStateDesc2010203</v>
      </c>
      <c r="G7" s="29"/>
      <c r="H7" s="71">
        <v>1</v>
      </c>
      <c r="I7" s="71">
        <v>1</v>
      </c>
      <c r="J7" s="31"/>
      <c r="K7" s="32" t="s">
        <v>129</v>
      </c>
      <c r="L7" s="33" t="s">
        <v>118</v>
      </c>
      <c r="M7" s="33">
        <f t="shared" si="2"/>
        <v>84600</v>
      </c>
      <c r="N7" s="32" t="s">
        <v>130</v>
      </c>
      <c r="O7" s="34" t="s">
        <v>388</v>
      </c>
      <c r="P7" s="32" t="s">
        <v>120</v>
      </c>
      <c r="Q7" s="34"/>
      <c r="R7" s="37"/>
    </row>
    <row r="8" spans="1:18" s="23" customFormat="1">
      <c r="A8" s="29" t="s">
        <v>131</v>
      </c>
      <c r="B8" s="29">
        <v>1000300</v>
      </c>
      <c r="C8" s="29" t="s">
        <v>132</v>
      </c>
      <c r="D8" s="29" t="s">
        <v>133</v>
      </c>
      <c r="E8" s="30" t="str">
        <f t="shared" si="0"/>
        <v>bestStateName2010204</v>
      </c>
      <c r="F8" s="30" t="str">
        <f t="shared" si="1"/>
        <v>bestStateDesc2010204</v>
      </c>
      <c r="G8" s="29"/>
      <c r="H8" s="71">
        <v>1.5</v>
      </c>
      <c r="I8" s="71">
        <v>1</v>
      </c>
      <c r="J8" s="31"/>
      <c r="K8" s="32" t="s">
        <v>416</v>
      </c>
      <c r="L8" s="33" t="s">
        <v>118</v>
      </c>
      <c r="M8" s="33">
        <f t="shared" si="2"/>
        <v>84600</v>
      </c>
      <c r="N8" s="32" t="s">
        <v>134</v>
      </c>
      <c r="O8" s="34" t="s">
        <v>389</v>
      </c>
      <c r="P8" s="32" t="s">
        <v>120</v>
      </c>
      <c r="Q8" s="34"/>
      <c r="R8" s="37"/>
    </row>
    <row r="9" spans="1:18" s="23" customFormat="1">
      <c r="A9" s="29" t="s">
        <v>135</v>
      </c>
      <c r="B9" s="29">
        <v>1000300</v>
      </c>
      <c r="C9" s="29" t="s">
        <v>136</v>
      </c>
      <c r="D9" s="29" t="s">
        <v>137</v>
      </c>
      <c r="E9" s="30" t="str">
        <f t="shared" si="0"/>
        <v>bestStateName2010205</v>
      </c>
      <c r="F9" s="30" t="str">
        <f t="shared" si="1"/>
        <v>bestStateDesc2010205</v>
      </c>
      <c r="G9" s="29"/>
      <c r="H9" s="71">
        <v>0.6</v>
      </c>
      <c r="I9" s="71">
        <v>1</v>
      </c>
      <c r="J9" s="31"/>
      <c r="K9" s="32" t="s">
        <v>138</v>
      </c>
      <c r="L9" s="33" t="s">
        <v>118</v>
      </c>
      <c r="M9" s="33">
        <f t="shared" si="2"/>
        <v>84600</v>
      </c>
      <c r="N9" s="32" t="s">
        <v>139</v>
      </c>
      <c r="O9" s="34" t="s">
        <v>390</v>
      </c>
      <c r="P9" s="32" t="s">
        <v>120</v>
      </c>
      <c r="Q9" s="34"/>
      <c r="R9" s="37"/>
    </row>
    <row r="10" spans="1:18" s="23" customFormat="1">
      <c r="A10" s="29" t="s">
        <v>140</v>
      </c>
      <c r="B10" s="29">
        <v>1000300</v>
      </c>
      <c r="C10" s="29" t="s">
        <v>141</v>
      </c>
      <c r="D10" s="29" t="s">
        <v>142</v>
      </c>
      <c r="E10" s="30" t="str">
        <f t="shared" si="0"/>
        <v>bestStateName2010206</v>
      </c>
      <c r="F10" s="30" t="str">
        <f t="shared" si="1"/>
        <v>bestStateDesc2010206</v>
      </c>
      <c r="G10" s="71">
        <v>1</v>
      </c>
      <c r="H10" s="29"/>
      <c r="I10" s="71">
        <v>1</v>
      </c>
      <c r="J10" s="31"/>
      <c r="K10" s="32"/>
      <c r="L10" s="33" t="s">
        <v>118</v>
      </c>
      <c r="M10" s="33">
        <f t="shared" si="2"/>
        <v>84600</v>
      </c>
      <c r="N10" s="32" t="s">
        <v>143</v>
      </c>
      <c r="O10" s="34" t="s">
        <v>388</v>
      </c>
      <c r="P10" s="32" t="s">
        <v>120</v>
      </c>
      <c r="Q10" s="34"/>
      <c r="R10" s="37"/>
    </row>
    <row r="11" spans="1:18" s="23" customFormat="1">
      <c r="A11" s="29" t="s">
        <v>144</v>
      </c>
      <c r="B11" s="29">
        <v>1000300</v>
      </c>
      <c r="C11" s="29" t="s">
        <v>145</v>
      </c>
      <c r="D11" s="69" t="s">
        <v>418</v>
      </c>
      <c r="E11" s="70" t="str">
        <f t="shared" si="0"/>
        <v>bestStateName2010207</v>
      </c>
      <c r="F11" s="70" t="str">
        <f t="shared" si="1"/>
        <v>bestStateDesc2010207</v>
      </c>
      <c r="G11" s="29"/>
      <c r="H11" s="72">
        <v>1</v>
      </c>
      <c r="I11" s="71">
        <v>3</v>
      </c>
      <c r="J11" s="31"/>
      <c r="K11" s="32" t="s">
        <v>419</v>
      </c>
      <c r="L11" s="33" t="s">
        <v>118</v>
      </c>
      <c r="M11" s="33">
        <f t="shared" si="2"/>
        <v>84600</v>
      </c>
      <c r="N11" s="32" t="s">
        <v>146</v>
      </c>
      <c r="O11" s="34" t="s">
        <v>388</v>
      </c>
      <c r="P11" s="32" t="s">
        <v>120</v>
      </c>
      <c r="Q11" s="32" t="s">
        <v>147</v>
      </c>
      <c r="R11" s="75" t="s">
        <v>444</v>
      </c>
    </row>
    <row r="12" spans="1:18">
      <c r="C12" s="29"/>
      <c r="D12" s="29"/>
    </row>
    <row r="13" spans="1:18">
      <c r="C13" s="29"/>
      <c r="D13" s="29"/>
      <c r="L13" s="83"/>
    </row>
    <row r="14" spans="1:18">
      <c r="C14" s="29"/>
      <c r="D14" s="29"/>
      <c r="N14" s="3"/>
    </row>
    <row r="15" spans="1:18">
      <c r="C15" s="29"/>
      <c r="D15" s="29"/>
      <c r="N15" s="3"/>
    </row>
    <row r="16" spans="1:18">
      <c r="C16" s="29"/>
      <c r="D16" s="29"/>
      <c r="N16" s="3"/>
    </row>
    <row r="17" spans="12:14">
      <c r="N17" s="3"/>
    </row>
    <row r="18" spans="12:14">
      <c r="N18" s="3"/>
    </row>
    <row r="19" spans="12:14">
      <c r="N19" s="3"/>
    </row>
    <row r="20" spans="12:14">
      <c r="N20" s="3"/>
    </row>
    <row r="28" spans="12:14">
      <c r="L28" s="29"/>
    </row>
  </sheetData>
  <phoneticPr fontId="33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8"/>
  <sheetViews>
    <sheetView tabSelected="1" workbookViewId="0">
      <pane ySplit="4" topLeftCell="A35" activePane="bottomLeft" state="frozen"/>
      <selection pane="bottomLeft" activeCell="F56" sqref="F56"/>
    </sheetView>
  </sheetViews>
  <sheetFormatPr defaultColWidth="9.25" defaultRowHeight="16.5"/>
  <cols>
    <col min="1" max="1" width="11.125" style="15" customWidth="1"/>
    <col min="2" max="2" width="66.625" style="14" customWidth="1"/>
    <col min="3" max="3" width="83.25" style="14" customWidth="1"/>
    <col min="4" max="4" width="22.375" style="14" customWidth="1"/>
    <col min="5" max="5" width="9.25" style="14"/>
    <col min="6" max="16384" width="9.25" style="15"/>
  </cols>
  <sheetData>
    <row r="1" spans="1:5">
      <c r="A1" s="10" t="s">
        <v>148</v>
      </c>
      <c r="B1" s="6" t="s">
        <v>149</v>
      </c>
      <c r="C1" s="6" t="s">
        <v>150</v>
      </c>
      <c r="D1" s="6" t="s">
        <v>151</v>
      </c>
      <c r="E1" s="14" t="s">
        <v>152</v>
      </c>
    </row>
    <row r="2" spans="1:5">
      <c r="A2" s="10" t="s">
        <v>21</v>
      </c>
      <c r="B2" s="16" t="s">
        <v>24</v>
      </c>
      <c r="C2" s="16" t="s">
        <v>24</v>
      </c>
      <c r="D2" s="16" t="s">
        <v>22</v>
      </c>
    </row>
    <row r="3" spans="1:5">
      <c r="A3" s="10" t="s">
        <v>0</v>
      </c>
      <c r="B3" s="16" t="s">
        <v>153</v>
      </c>
      <c r="C3" s="16" t="s">
        <v>154</v>
      </c>
      <c r="D3" s="16" t="s">
        <v>155</v>
      </c>
    </row>
    <row r="4" spans="1:5">
      <c r="A4" s="10" t="s">
        <v>47</v>
      </c>
      <c r="B4" s="6" t="s">
        <v>47</v>
      </c>
      <c r="C4" s="6" t="s">
        <v>47</v>
      </c>
      <c r="D4" s="6" t="s">
        <v>48</v>
      </c>
    </row>
    <row r="5" spans="1:5">
      <c r="A5" s="17">
        <v>10101</v>
      </c>
      <c r="B5" s="14" t="s">
        <v>156</v>
      </c>
      <c r="C5" s="14" t="s">
        <v>157</v>
      </c>
      <c r="D5" s="14" t="str">
        <f>"ScoreRewardName"&amp;A5</f>
        <v>ScoreRewardName10101</v>
      </c>
      <c r="E5" s="18">
        <f>INDEX('[1]活動相關國際化|I18NActivity'!$C:$C,MATCH(D5,'[1]活動相關國際化|I18NActivity'!$A:$A,0))</f>
        <v>0</v>
      </c>
    </row>
    <row r="6" spans="1:5">
      <c r="A6" s="17">
        <v>10102</v>
      </c>
      <c r="B6" s="14" t="s">
        <v>158</v>
      </c>
      <c r="C6" s="14" t="s">
        <v>159</v>
      </c>
      <c r="D6" s="14" t="str">
        <f t="shared" ref="D6:D13" si="0">"ScoreRewardName"&amp;A6</f>
        <v>ScoreRewardName10102</v>
      </c>
      <c r="E6" s="18">
        <f>INDEX('[1]活動相關國際化|I18NActivity'!$C:$C,MATCH(D6,'[1]活動相關國際化|I18NActivity'!$A:$A,0))</f>
        <v>0</v>
      </c>
    </row>
    <row r="7" spans="1:5">
      <c r="A7" s="17">
        <v>10103</v>
      </c>
      <c r="B7" s="14" t="s">
        <v>160</v>
      </c>
      <c r="C7" s="14" t="s">
        <v>161</v>
      </c>
      <c r="D7" s="14" t="str">
        <f t="shared" si="0"/>
        <v>ScoreRewardName10103</v>
      </c>
      <c r="E7" s="18">
        <f>INDEX('[1]活動相關國際化|I18NActivity'!$C:$C,MATCH(D7,'[1]活動相關國際化|I18NActivity'!$A:$A,0))</f>
        <v>0</v>
      </c>
    </row>
    <row r="8" spans="1:5">
      <c r="A8" s="17">
        <v>10104</v>
      </c>
      <c r="B8" s="14" t="s">
        <v>162</v>
      </c>
      <c r="C8" s="14" t="s">
        <v>163</v>
      </c>
      <c r="D8" s="14" t="str">
        <f t="shared" si="0"/>
        <v>ScoreRewardName10104</v>
      </c>
      <c r="E8" s="18">
        <f>INDEX('[1]活動相關國際化|I18NActivity'!$C:$C,MATCH(D8,'[1]活動相關國際化|I18NActivity'!$A:$A,0))</f>
        <v>0</v>
      </c>
    </row>
    <row r="9" spans="1:5">
      <c r="A9" s="17">
        <v>10105</v>
      </c>
      <c r="B9" s="14" t="s">
        <v>164</v>
      </c>
      <c r="C9" s="14" t="s">
        <v>165</v>
      </c>
      <c r="D9" s="14" t="str">
        <f t="shared" si="0"/>
        <v>ScoreRewardName10105</v>
      </c>
      <c r="E9" s="18">
        <f>INDEX('[1]活動相關國際化|I18NActivity'!$C:$C,MATCH(D9,'[1]活動相關國際化|I18NActivity'!$A:$A,0))</f>
        <v>0</v>
      </c>
    </row>
    <row r="10" spans="1:5">
      <c r="A10" s="17">
        <v>10106</v>
      </c>
      <c r="B10" s="14" t="s">
        <v>166</v>
      </c>
      <c r="C10" s="14" t="s">
        <v>167</v>
      </c>
      <c r="D10" s="14" t="str">
        <f t="shared" si="0"/>
        <v>ScoreRewardName10106</v>
      </c>
      <c r="E10" s="18">
        <f>INDEX('[1]活動相關國際化|I18NActivity'!$C:$C,MATCH(D10,'[1]活動相關國際化|I18NActivity'!$A:$A,0))</f>
        <v>0</v>
      </c>
    </row>
    <row r="11" spans="1:5">
      <c r="A11" s="17">
        <v>10107</v>
      </c>
      <c r="B11" s="14" t="s">
        <v>168</v>
      </c>
      <c r="C11" s="14" t="s">
        <v>169</v>
      </c>
      <c r="D11" s="14" t="str">
        <f t="shared" si="0"/>
        <v>ScoreRewardName10107</v>
      </c>
      <c r="E11" s="18">
        <f>INDEX('[1]活動相關國際化|I18NActivity'!$C:$C,MATCH(D11,'[1]活動相關國際化|I18NActivity'!$A:$A,0))</f>
        <v>0</v>
      </c>
    </row>
    <row r="12" spans="1:5">
      <c r="A12" s="17">
        <v>10108</v>
      </c>
      <c r="B12" s="14" t="s">
        <v>170</v>
      </c>
      <c r="C12" s="14" t="s">
        <v>171</v>
      </c>
      <c r="D12" s="14" t="str">
        <f t="shared" si="0"/>
        <v>ScoreRewardName10108</v>
      </c>
      <c r="E12" s="18">
        <f>INDEX('[1]活動相關國際化|I18NActivity'!$C:$C,MATCH(D12,'[1]活動相關國際化|I18NActivity'!$A:$A,0))</f>
        <v>0</v>
      </c>
    </row>
    <row r="13" spans="1:5">
      <c r="A13" s="17">
        <v>10109</v>
      </c>
      <c r="B13" s="14" t="s">
        <v>172</v>
      </c>
      <c r="C13" s="14" t="s">
        <v>173</v>
      </c>
      <c r="D13" s="14" t="str">
        <f t="shared" si="0"/>
        <v>ScoreRewardName10109</v>
      </c>
      <c r="E13" s="18">
        <f>INDEX('[1]活動相關國際化|I18NActivity'!$C:$C,MATCH(D13,'[1]活動相關國際化|I18NActivity'!$A:$A,0))</f>
        <v>0</v>
      </c>
    </row>
    <row r="14" spans="1:5">
      <c r="A14" s="17">
        <f>A5+100</f>
        <v>10201</v>
      </c>
      <c r="B14" s="14" t="s">
        <v>332</v>
      </c>
      <c r="C14" s="14" t="s">
        <v>174</v>
      </c>
      <c r="D14" s="14" t="s">
        <v>175</v>
      </c>
      <c r="E14" s="18">
        <f>INDEX('[1]活動相關國際化|I18NActivity'!$C:$C,MATCH(D14,'[1]活動相關國際化|I18NActivity'!$A:$A,0))</f>
        <v>0</v>
      </c>
    </row>
    <row r="15" spans="1:5">
      <c r="A15" s="17">
        <f t="shared" ref="A15:A67" si="1">A6+100</f>
        <v>10202</v>
      </c>
      <c r="B15" s="14" t="s">
        <v>333</v>
      </c>
      <c r="C15" s="14" t="s">
        <v>176</v>
      </c>
      <c r="D15" s="14" t="s">
        <v>177</v>
      </c>
      <c r="E15" s="18">
        <f>INDEX('[1]活動相關國際化|I18NActivity'!$C:$C,MATCH(D15,'[1]活動相關國際化|I18NActivity'!$A:$A,0))</f>
        <v>0</v>
      </c>
    </row>
    <row r="16" spans="1:5">
      <c r="A16" s="17">
        <f t="shared" si="1"/>
        <v>10203</v>
      </c>
      <c r="B16" s="14" t="s">
        <v>334</v>
      </c>
      <c r="C16" s="14" t="s">
        <v>178</v>
      </c>
      <c r="D16" s="14" t="s">
        <v>179</v>
      </c>
      <c r="E16" s="18">
        <f>INDEX('[1]活動相關國際化|I18NActivity'!$C:$C,MATCH(D16,'[1]活動相關國際化|I18NActivity'!$A:$A,0))</f>
        <v>0</v>
      </c>
    </row>
    <row r="17" spans="1:5">
      <c r="A17" s="17">
        <f t="shared" si="1"/>
        <v>10204</v>
      </c>
      <c r="B17" s="14" t="s">
        <v>335</v>
      </c>
      <c r="C17" s="14" t="s">
        <v>180</v>
      </c>
      <c r="D17" s="14" t="s">
        <v>181</v>
      </c>
      <c r="E17" s="18">
        <f>INDEX('[1]活動相關國際化|I18NActivity'!$C:$C,MATCH(D17,'[1]活動相關國際化|I18NActivity'!$A:$A,0))</f>
        <v>0</v>
      </c>
    </row>
    <row r="18" spans="1:5">
      <c r="A18" s="17">
        <f t="shared" si="1"/>
        <v>10205</v>
      </c>
      <c r="B18" s="14" t="s">
        <v>336</v>
      </c>
      <c r="C18" s="14" t="s">
        <v>182</v>
      </c>
      <c r="D18" s="14" t="s">
        <v>183</v>
      </c>
      <c r="E18" s="18">
        <f>INDEX('[1]活動相關國際化|I18NActivity'!$C:$C,MATCH(D18,'[1]活動相關國際化|I18NActivity'!$A:$A,0))</f>
        <v>0</v>
      </c>
    </row>
    <row r="19" spans="1:5">
      <c r="A19" s="17">
        <f t="shared" si="1"/>
        <v>10206</v>
      </c>
      <c r="B19" s="14" t="s">
        <v>337</v>
      </c>
      <c r="C19" s="14" t="s">
        <v>184</v>
      </c>
      <c r="D19" s="14" t="s">
        <v>185</v>
      </c>
      <c r="E19" s="18">
        <f>INDEX('[1]活動相關國際化|I18NActivity'!$C:$C,MATCH(D19,'[1]活動相關國際化|I18NActivity'!$A:$A,0))</f>
        <v>0</v>
      </c>
    </row>
    <row r="20" spans="1:5">
      <c r="A20" s="17">
        <f t="shared" si="1"/>
        <v>10207</v>
      </c>
      <c r="B20" s="14" t="s">
        <v>338</v>
      </c>
      <c r="C20" s="14" t="s">
        <v>186</v>
      </c>
      <c r="D20" s="14" t="s">
        <v>187</v>
      </c>
      <c r="E20" s="18">
        <f>INDEX('[1]活動相關國際化|I18NActivity'!$C:$C,MATCH(D20,'[1]活動相關國際化|I18NActivity'!$A:$A,0))</f>
        <v>0</v>
      </c>
    </row>
    <row r="21" spans="1:5">
      <c r="A21" s="17">
        <f t="shared" si="1"/>
        <v>10208</v>
      </c>
      <c r="B21" s="14" t="s">
        <v>339</v>
      </c>
      <c r="C21" s="14" t="s">
        <v>188</v>
      </c>
      <c r="D21" s="14" t="s">
        <v>189</v>
      </c>
      <c r="E21" s="18">
        <f>INDEX('[1]活動相關國際化|I18NActivity'!$C:$C,MATCH(D21,'[1]活動相關國際化|I18NActivity'!$A:$A,0))</f>
        <v>0</v>
      </c>
    </row>
    <row r="22" spans="1:5">
      <c r="A22" s="17">
        <f t="shared" si="1"/>
        <v>10209</v>
      </c>
      <c r="B22" s="14" t="s">
        <v>340</v>
      </c>
      <c r="C22" s="14" t="s">
        <v>190</v>
      </c>
      <c r="D22" s="14" t="s">
        <v>191</v>
      </c>
      <c r="E22" s="18">
        <f>INDEX('[1]活動相關國際化|I18NActivity'!$C:$C,MATCH(D22,'[1]活動相關國際化|I18NActivity'!$A:$A,0))</f>
        <v>0</v>
      </c>
    </row>
    <row r="23" spans="1:5">
      <c r="A23" s="17">
        <f t="shared" si="1"/>
        <v>10301</v>
      </c>
      <c r="B23" s="14" t="s">
        <v>341</v>
      </c>
      <c r="C23" s="14" t="s">
        <v>192</v>
      </c>
      <c r="D23" s="14" t="s">
        <v>175</v>
      </c>
      <c r="E23" s="18">
        <f>INDEX('[1]活動相關國際化|I18NActivity'!$C:$C,MATCH(D23,'[1]活動相關國際化|I18NActivity'!$A:$A,0))</f>
        <v>0</v>
      </c>
    </row>
    <row r="24" spans="1:5">
      <c r="A24" s="17">
        <f t="shared" si="1"/>
        <v>10302</v>
      </c>
      <c r="B24" s="14" t="s">
        <v>342</v>
      </c>
      <c r="C24" s="14" t="s">
        <v>193</v>
      </c>
      <c r="D24" s="14" t="s">
        <v>177</v>
      </c>
      <c r="E24" s="18">
        <f>INDEX('[1]活動相關國際化|I18NActivity'!$C:$C,MATCH(D24,'[1]活動相關國際化|I18NActivity'!$A:$A,0))</f>
        <v>0</v>
      </c>
    </row>
    <row r="25" spans="1:5">
      <c r="A25" s="17">
        <f t="shared" si="1"/>
        <v>10303</v>
      </c>
      <c r="B25" s="14" t="s">
        <v>343</v>
      </c>
      <c r="C25" s="14" t="s">
        <v>194</v>
      </c>
      <c r="D25" s="14" t="s">
        <v>179</v>
      </c>
      <c r="E25" s="18">
        <f>INDEX('[1]活動相關國際化|I18NActivity'!$C:$C,MATCH(D25,'[1]活動相關國際化|I18NActivity'!$A:$A,0))</f>
        <v>0</v>
      </c>
    </row>
    <row r="26" spans="1:5">
      <c r="A26" s="17">
        <f t="shared" si="1"/>
        <v>10304</v>
      </c>
      <c r="B26" s="14" t="s">
        <v>344</v>
      </c>
      <c r="C26" s="14" t="s">
        <v>195</v>
      </c>
      <c r="D26" s="14" t="s">
        <v>181</v>
      </c>
      <c r="E26" s="18">
        <f>INDEX('[1]活動相關國際化|I18NActivity'!$C:$C,MATCH(D26,'[1]活動相關國際化|I18NActivity'!$A:$A,0))</f>
        <v>0</v>
      </c>
    </row>
    <row r="27" spans="1:5">
      <c r="A27" s="17">
        <f t="shared" si="1"/>
        <v>10305</v>
      </c>
      <c r="B27" s="14" t="s">
        <v>345</v>
      </c>
      <c r="C27" s="14" t="s">
        <v>196</v>
      </c>
      <c r="D27" s="14" t="s">
        <v>183</v>
      </c>
      <c r="E27" s="18">
        <f>INDEX('[1]活動相關國際化|I18NActivity'!$C:$C,MATCH(D27,'[1]活動相關國際化|I18NActivity'!$A:$A,0))</f>
        <v>0</v>
      </c>
    </row>
    <row r="28" spans="1:5">
      <c r="A28" s="17">
        <f t="shared" si="1"/>
        <v>10306</v>
      </c>
      <c r="B28" s="14" t="s">
        <v>346</v>
      </c>
      <c r="C28" s="14" t="s">
        <v>197</v>
      </c>
      <c r="D28" s="14" t="s">
        <v>185</v>
      </c>
      <c r="E28" s="18">
        <f>INDEX('[1]活動相關國際化|I18NActivity'!$C:$C,MATCH(D28,'[1]活動相關國際化|I18NActivity'!$A:$A,0))</f>
        <v>0</v>
      </c>
    </row>
    <row r="29" spans="1:5">
      <c r="A29" s="17">
        <f t="shared" si="1"/>
        <v>10307</v>
      </c>
      <c r="B29" s="14" t="s">
        <v>347</v>
      </c>
      <c r="C29" s="14" t="s">
        <v>198</v>
      </c>
      <c r="D29" s="14" t="s">
        <v>187</v>
      </c>
      <c r="E29" s="18">
        <f>INDEX('[1]活動相關國際化|I18NActivity'!$C:$C,MATCH(D29,'[1]活動相關國際化|I18NActivity'!$A:$A,0))</f>
        <v>0</v>
      </c>
    </row>
    <row r="30" spans="1:5">
      <c r="A30" s="17">
        <f t="shared" si="1"/>
        <v>10308</v>
      </c>
      <c r="B30" s="14" t="s">
        <v>348</v>
      </c>
      <c r="C30" s="14" t="s">
        <v>199</v>
      </c>
      <c r="D30" s="14" t="s">
        <v>189</v>
      </c>
      <c r="E30" s="18">
        <f>INDEX('[1]活動相關國際化|I18NActivity'!$C:$C,MATCH(D30,'[1]活動相關國際化|I18NActivity'!$A:$A,0))</f>
        <v>0</v>
      </c>
    </row>
    <row r="31" spans="1:5">
      <c r="A31" s="17">
        <f t="shared" si="1"/>
        <v>10309</v>
      </c>
      <c r="B31" s="14" t="s">
        <v>349</v>
      </c>
      <c r="C31" s="14" t="s">
        <v>200</v>
      </c>
      <c r="D31" s="14" t="s">
        <v>191</v>
      </c>
      <c r="E31" s="18">
        <f>INDEX('[1]活動相關國際化|I18NActivity'!$C:$C,MATCH(D31,'[1]活動相關國際化|I18NActivity'!$A:$A,0))</f>
        <v>0</v>
      </c>
    </row>
    <row r="32" spans="1:5">
      <c r="A32" s="17">
        <f t="shared" si="1"/>
        <v>10401</v>
      </c>
      <c r="B32" s="14" t="s">
        <v>350</v>
      </c>
      <c r="C32" s="14" t="s">
        <v>391</v>
      </c>
      <c r="D32" s="14" t="s">
        <v>175</v>
      </c>
      <c r="E32" s="18">
        <f>INDEX('[1]活動相關國際化|I18NActivity'!$C:$C,MATCH(D32,'[1]活動相關國際化|I18NActivity'!$A:$A,0))</f>
        <v>0</v>
      </c>
    </row>
    <row r="33" spans="1:5">
      <c r="A33" s="17">
        <f t="shared" si="1"/>
        <v>10402</v>
      </c>
      <c r="B33" s="14" t="s">
        <v>351</v>
      </c>
      <c r="C33" s="14" t="s">
        <v>392</v>
      </c>
      <c r="D33" s="14" t="s">
        <v>177</v>
      </c>
      <c r="E33" s="18">
        <f>INDEX('[1]活動相關國際化|I18NActivity'!$C:$C,MATCH(D33,'[1]活動相關國際化|I18NActivity'!$A:$A,0))</f>
        <v>0</v>
      </c>
    </row>
    <row r="34" spans="1:5">
      <c r="A34" s="17">
        <f t="shared" si="1"/>
        <v>10403</v>
      </c>
      <c r="B34" s="14" t="s">
        <v>352</v>
      </c>
      <c r="C34" s="14" t="s">
        <v>393</v>
      </c>
      <c r="D34" s="14" t="s">
        <v>179</v>
      </c>
      <c r="E34" s="18">
        <f>INDEX('[1]活動相關國際化|I18NActivity'!$C:$C,MATCH(D34,'[1]活動相關國際化|I18NActivity'!$A:$A,0))</f>
        <v>0</v>
      </c>
    </row>
    <row r="35" spans="1:5">
      <c r="A35" s="17">
        <f t="shared" si="1"/>
        <v>10404</v>
      </c>
      <c r="B35" s="14" t="s">
        <v>353</v>
      </c>
      <c r="C35" s="14" t="s">
        <v>394</v>
      </c>
      <c r="D35" s="14" t="s">
        <v>181</v>
      </c>
      <c r="E35" s="18">
        <f>INDEX('[1]活動相關國際化|I18NActivity'!$C:$C,MATCH(D35,'[1]活動相關國際化|I18NActivity'!$A:$A,0))</f>
        <v>0</v>
      </c>
    </row>
    <row r="36" spans="1:5">
      <c r="A36" s="17">
        <f t="shared" si="1"/>
        <v>10405</v>
      </c>
      <c r="B36" s="14" t="s">
        <v>354</v>
      </c>
      <c r="C36" s="14" t="s">
        <v>395</v>
      </c>
      <c r="D36" s="14" t="s">
        <v>183</v>
      </c>
      <c r="E36" s="18">
        <f>INDEX('[1]活動相關國際化|I18NActivity'!$C:$C,MATCH(D36,'[1]活動相關國際化|I18NActivity'!$A:$A,0))</f>
        <v>0</v>
      </c>
    </row>
    <row r="37" spans="1:5">
      <c r="A37" s="17">
        <f t="shared" si="1"/>
        <v>10406</v>
      </c>
      <c r="B37" s="14" t="s">
        <v>355</v>
      </c>
      <c r="C37" s="14" t="s">
        <v>396</v>
      </c>
      <c r="D37" s="14" t="s">
        <v>185</v>
      </c>
      <c r="E37" s="18">
        <f>INDEX('[1]活動相關國際化|I18NActivity'!$C:$C,MATCH(D37,'[1]活動相關國際化|I18NActivity'!$A:$A,0))</f>
        <v>0</v>
      </c>
    </row>
    <row r="38" spans="1:5">
      <c r="A38" s="17">
        <f t="shared" si="1"/>
        <v>10407</v>
      </c>
      <c r="B38" s="14" t="s">
        <v>356</v>
      </c>
      <c r="C38" s="14" t="s">
        <v>397</v>
      </c>
      <c r="D38" s="14" t="s">
        <v>187</v>
      </c>
      <c r="E38" s="18">
        <f>INDEX('[1]活動相關國際化|I18NActivity'!$C:$C,MATCH(D38,'[1]活動相關國際化|I18NActivity'!$A:$A,0))</f>
        <v>0</v>
      </c>
    </row>
    <row r="39" spans="1:5">
      <c r="A39" s="17">
        <f t="shared" si="1"/>
        <v>10408</v>
      </c>
      <c r="B39" s="14" t="s">
        <v>357</v>
      </c>
      <c r="C39" s="14" t="s">
        <v>398</v>
      </c>
      <c r="D39" s="14" t="s">
        <v>189</v>
      </c>
      <c r="E39" s="18">
        <f>INDEX('[1]活動相關國際化|I18NActivity'!$C:$C,MATCH(D39,'[1]活動相關國際化|I18NActivity'!$A:$A,0))</f>
        <v>0</v>
      </c>
    </row>
    <row r="40" spans="1:5">
      <c r="A40" s="17">
        <f t="shared" si="1"/>
        <v>10409</v>
      </c>
      <c r="B40" s="14" t="s">
        <v>358</v>
      </c>
      <c r="C40" s="14" t="s">
        <v>399</v>
      </c>
      <c r="D40" s="14" t="s">
        <v>191</v>
      </c>
      <c r="E40" s="18">
        <f>INDEX('[1]活動相關國際化|I18NActivity'!$C:$C,MATCH(D40,'[1]活動相關國際化|I18NActivity'!$A:$A,0))</f>
        <v>0</v>
      </c>
    </row>
    <row r="41" spans="1:5">
      <c r="A41" s="17">
        <f t="shared" si="1"/>
        <v>10501</v>
      </c>
      <c r="B41" s="14" t="s">
        <v>359</v>
      </c>
      <c r="C41" s="14" t="s">
        <v>400</v>
      </c>
      <c r="D41" s="14" t="s">
        <v>175</v>
      </c>
      <c r="E41" s="18">
        <f>INDEX('[1]活動相關國際化|I18NActivity'!$C:$C,MATCH(D41,'[1]活動相關國際化|I18NActivity'!$A:$A,0))</f>
        <v>0</v>
      </c>
    </row>
    <row r="42" spans="1:5">
      <c r="A42" s="17">
        <f t="shared" si="1"/>
        <v>10502</v>
      </c>
      <c r="B42" s="14" t="s">
        <v>360</v>
      </c>
      <c r="C42" s="14" t="s">
        <v>401</v>
      </c>
      <c r="D42" s="14" t="s">
        <v>177</v>
      </c>
      <c r="E42" s="18">
        <f>INDEX('[1]活動相關國際化|I18NActivity'!$C:$C,MATCH(D42,'[1]活動相關國際化|I18NActivity'!$A:$A,0))</f>
        <v>0</v>
      </c>
    </row>
    <row r="43" spans="1:5">
      <c r="A43" s="17">
        <f t="shared" si="1"/>
        <v>10503</v>
      </c>
      <c r="B43" s="14" t="s">
        <v>361</v>
      </c>
      <c r="C43" s="14" t="s">
        <v>402</v>
      </c>
      <c r="D43" s="14" t="s">
        <v>179</v>
      </c>
      <c r="E43" s="18">
        <f>INDEX('[1]活動相關國際化|I18NActivity'!$C:$C,MATCH(D43,'[1]活動相關國際化|I18NActivity'!$A:$A,0))</f>
        <v>0</v>
      </c>
    </row>
    <row r="44" spans="1:5">
      <c r="A44" s="17">
        <f t="shared" si="1"/>
        <v>10504</v>
      </c>
      <c r="B44" s="14" t="s">
        <v>362</v>
      </c>
      <c r="C44" s="14" t="s">
        <v>201</v>
      </c>
      <c r="D44" s="14" t="s">
        <v>181</v>
      </c>
      <c r="E44" s="18">
        <f>INDEX('[1]活動相關國際化|I18NActivity'!$C:$C,MATCH(D44,'[1]活動相關國際化|I18NActivity'!$A:$A,0))</f>
        <v>0</v>
      </c>
    </row>
    <row r="45" spans="1:5">
      <c r="A45" s="17">
        <f t="shared" si="1"/>
        <v>10505</v>
      </c>
      <c r="B45" s="14" t="s">
        <v>363</v>
      </c>
      <c r="C45" s="14" t="s">
        <v>202</v>
      </c>
      <c r="D45" s="14" t="s">
        <v>183</v>
      </c>
      <c r="E45" s="18">
        <f>INDEX('[1]活動相關國際化|I18NActivity'!$C:$C,MATCH(D45,'[1]活動相關國際化|I18NActivity'!$A:$A,0))</f>
        <v>0</v>
      </c>
    </row>
    <row r="46" spans="1:5">
      <c r="A46" s="17">
        <f t="shared" si="1"/>
        <v>10506</v>
      </c>
      <c r="B46" s="14" t="s">
        <v>364</v>
      </c>
      <c r="C46" s="14" t="s">
        <v>203</v>
      </c>
      <c r="D46" s="14" t="s">
        <v>185</v>
      </c>
      <c r="E46" s="18">
        <f>INDEX('[1]活動相關國際化|I18NActivity'!$C:$C,MATCH(D46,'[1]活動相關國際化|I18NActivity'!$A:$A,0))</f>
        <v>0</v>
      </c>
    </row>
    <row r="47" spans="1:5">
      <c r="A47" s="17">
        <f t="shared" si="1"/>
        <v>10507</v>
      </c>
      <c r="B47" s="14" t="s">
        <v>365</v>
      </c>
      <c r="C47" s="14" t="s">
        <v>204</v>
      </c>
      <c r="D47" s="14" t="s">
        <v>187</v>
      </c>
      <c r="E47" s="18">
        <f>INDEX('[1]活動相關國際化|I18NActivity'!$C:$C,MATCH(D47,'[1]活動相關國際化|I18NActivity'!$A:$A,0))</f>
        <v>0</v>
      </c>
    </row>
    <row r="48" spans="1:5">
      <c r="A48" s="17">
        <f t="shared" si="1"/>
        <v>10508</v>
      </c>
      <c r="B48" s="14" t="s">
        <v>366</v>
      </c>
      <c r="C48" s="14" t="s">
        <v>205</v>
      </c>
      <c r="D48" s="14" t="s">
        <v>189</v>
      </c>
      <c r="E48" s="18">
        <f>INDEX('[1]活動相關國際化|I18NActivity'!$C:$C,MATCH(D48,'[1]活動相關國際化|I18NActivity'!$A:$A,0))</f>
        <v>0</v>
      </c>
    </row>
    <row r="49" spans="1:5">
      <c r="A49" s="17">
        <f t="shared" si="1"/>
        <v>10509</v>
      </c>
      <c r="B49" s="14" t="s">
        <v>367</v>
      </c>
      <c r="C49" s="14" t="s">
        <v>206</v>
      </c>
      <c r="D49" s="14" t="s">
        <v>191</v>
      </c>
      <c r="E49" s="18">
        <f>INDEX('[1]活動相關國際化|I18NActivity'!$C:$C,MATCH(D49,'[1]活動相關國際化|I18NActivity'!$A:$A,0))</f>
        <v>0</v>
      </c>
    </row>
    <row r="50" spans="1:5">
      <c r="A50" s="17">
        <f t="shared" si="1"/>
        <v>10601</v>
      </c>
      <c r="B50" s="14" t="s">
        <v>368</v>
      </c>
      <c r="C50" s="85" t="s">
        <v>453</v>
      </c>
      <c r="D50" s="14" t="s">
        <v>175</v>
      </c>
      <c r="E50" s="18">
        <f>INDEX('[1]活動相關國際化|I18NActivity'!$C:$C,MATCH(D50,'[1]活動相關國際化|I18NActivity'!$A:$A,0))</f>
        <v>0</v>
      </c>
    </row>
    <row r="51" spans="1:5">
      <c r="A51" s="17">
        <f t="shared" si="1"/>
        <v>10602</v>
      </c>
      <c r="B51" s="14" t="s">
        <v>369</v>
      </c>
      <c r="C51" s="14" t="s">
        <v>452</v>
      </c>
      <c r="D51" s="14" t="s">
        <v>177</v>
      </c>
      <c r="E51" s="18">
        <f>INDEX('[1]活動相關國際化|I18NActivity'!$C:$C,MATCH(D51,'[1]活動相關國際化|I18NActivity'!$A:$A,0))</f>
        <v>0</v>
      </c>
    </row>
    <row r="52" spans="1:5">
      <c r="A52" s="17">
        <f t="shared" si="1"/>
        <v>10603</v>
      </c>
      <c r="B52" s="14" t="s">
        <v>370</v>
      </c>
      <c r="C52" s="14" t="s">
        <v>452</v>
      </c>
      <c r="D52" s="14" t="s">
        <v>179</v>
      </c>
      <c r="E52" s="18">
        <f>INDEX('[1]活動相關國際化|I18NActivity'!$C:$C,MATCH(D52,'[1]活動相關國際化|I18NActivity'!$A:$A,0))</f>
        <v>0</v>
      </c>
    </row>
    <row r="53" spans="1:5">
      <c r="A53" s="17">
        <f t="shared" si="1"/>
        <v>10604</v>
      </c>
      <c r="B53" s="14" t="s">
        <v>371</v>
      </c>
      <c r="C53" s="14" t="s">
        <v>452</v>
      </c>
      <c r="D53" s="14" t="s">
        <v>181</v>
      </c>
      <c r="E53" s="18">
        <f>INDEX('[1]活動相關國際化|I18NActivity'!$C:$C,MATCH(D53,'[1]活動相關國際化|I18NActivity'!$A:$A,0))</f>
        <v>0</v>
      </c>
    </row>
    <row r="54" spans="1:5">
      <c r="A54" s="17">
        <f t="shared" si="1"/>
        <v>10605</v>
      </c>
      <c r="B54" s="14" t="s">
        <v>372</v>
      </c>
      <c r="C54" s="14" t="s">
        <v>452</v>
      </c>
      <c r="D54" s="14" t="s">
        <v>183</v>
      </c>
      <c r="E54" s="18">
        <f>INDEX('[1]活動相關國際化|I18NActivity'!$C:$C,MATCH(D54,'[1]活動相關國際化|I18NActivity'!$A:$A,0))</f>
        <v>0</v>
      </c>
    </row>
    <row r="55" spans="1:5">
      <c r="A55" s="17">
        <f t="shared" si="1"/>
        <v>10606</v>
      </c>
      <c r="B55" s="14" t="s">
        <v>373</v>
      </c>
      <c r="C55" s="14" t="s">
        <v>452</v>
      </c>
      <c r="D55" s="14" t="s">
        <v>185</v>
      </c>
      <c r="E55" s="18">
        <f>INDEX('[1]活動相關國際化|I18NActivity'!$C:$C,MATCH(D55,'[1]活動相關國際化|I18NActivity'!$A:$A,0))</f>
        <v>0</v>
      </c>
    </row>
    <row r="56" spans="1:5">
      <c r="A56" s="17">
        <f t="shared" si="1"/>
        <v>10607</v>
      </c>
      <c r="B56" s="14" t="s">
        <v>374</v>
      </c>
      <c r="C56" s="14" t="s">
        <v>452</v>
      </c>
      <c r="D56" s="14" t="s">
        <v>187</v>
      </c>
      <c r="E56" s="18">
        <f>INDEX('[1]活動相關國際化|I18NActivity'!$C:$C,MATCH(D56,'[1]活動相關國際化|I18NActivity'!$A:$A,0))</f>
        <v>0</v>
      </c>
    </row>
    <row r="57" spans="1:5">
      <c r="A57" s="17">
        <f t="shared" si="1"/>
        <v>10608</v>
      </c>
      <c r="B57" s="14" t="s">
        <v>375</v>
      </c>
      <c r="C57" s="14" t="s">
        <v>452</v>
      </c>
      <c r="D57" s="14" t="s">
        <v>189</v>
      </c>
      <c r="E57" s="18">
        <f>INDEX('[1]活動相關國際化|I18NActivity'!$C:$C,MATCH(D57,'[1]活動相關國際化|I18NActivity'!$A:$A,0))</f>
        <v>0</v>
      </c>
    </row>
    <row r="58" spans="1:5">
      <c r="A58" s="17">
        <f t="shared" si="1"/>
        <v>10609</v>
      </c>
      <c r="B58" s="14" t="s">
        <v>376</v>
      </c>
      <c r="C58" s="14" t="s">
        <v>452</v>
      </c>
      <c r="D58" s="14" t="s">
        <v>191</v>
      </c>
      <c r="E58" s="18">
        <f>INDEX('[1]活動相關國際化|I18NActivity'!$C:$C,MATCH(D58,'[1]活動相關國際化|I18NActivity'!$A:$A,0))</f>
        <v>0</v>
      </c>
    </row>
    <row r="59" spans="1:5">
      <c r="A59" s="17">
        <f t="shared" si="1"/>
        <v>10701</v>
      </c>
      <c r="B59" s="14" t="s">
        <v>377</v>
      </c>
      <c r="C59" s="80" t="s">
        <v>435</v>
      </c>
      <c r="D59" s="14" t="s">
        <v>175</v>
      </c>
      <c r="E59" s="18">
        <f>INDEX('[1]活動相關國際化|I18NActivity'!$C:$C,MATCH(D59,'[1]活動相關國際化|I18NActivity'!$A:$A,0))</f>
        <v>0</v>
      </c>
    </row>
    <row r="60" spans="1:5">
      <c r="A60" s="17">
        <f t="shared" si="1"/>
        <v>10702</v>
      </c>
      <c r="B60" s="14" t="s">
        <v>378</v>
      </c>
      <c r="C60" s="80" t="s">
        <v>436</v>
      </c>
      <c r="D60" s="14" t="s">
        <v>177</v>
      </c>
      <c r="E60" s="18">
        <f>INDEX('[1]活動相關國際化|I18NActivity'!$C:$C,MATCH(D60,'[1]活動相關國際化|I18NActivity'!$A:$A,0))</f>
        <v>0</v>
      </c>
    </row>
    <row r="61" spans="1:5">
      <c r="A61" s="17">
        <f t="shared" si="1"/>
        <v>10703</v>
      </c>
      <c r="B61" s="14" t="s">
        <v>379</v>
      </c>
      <c r="C61" s="80" t="s">
        <v>437</v>
      </c>
      <c r="D61" s="14" t="s">
        <v>179</v>
      </c>
      <c r="E61" s="18">
        <f>INDEX('[1]活動相關國際化|I18NActivity'!$C:$C,MATCH(D61,'[1]活動相關國際化|I18NActivity'!$A:$A,0))</f>
        <v>0</v>
      </c>
    </row>
    <row r="62" spans="1:5">
      <c r="A62" s="17">
        <f t="shared" si="1"/>
        <v>10704</v>
      </c>
      <c r="B62" s="14" t="s">
        <v>380</v>
      </c>
      <c r="C62" s="80" t="s">
        <v>438</v>
      </c>
      <c r="D62" s="14" t="s">
        <v>181</v>
      </c>
      <c r="E62" s="18">
        <f>INDEX('[1]活動相關國際化|I18NActivity'!$C:$C,MATCH(D62,'[1]活動相關國際化|I18NActivity'!$A:$A,0))</f>
        <v>0</v>
      </c>
    </row>
    <row r="63" spans="1:5">
      <c r="A63" s="17">
        <f t="shared" si="1"/>
        <v>10705</v>
      </c>
      <c r="B63" s="14" t="s">
        <v>381</v>
      </c>
      <c r="C63" s="80" t="s">
        <v>439</v>
      </c>
      <c r="D63" s="14" t="s">
        <v>183</v>
      </c>
      <c r="E63" s="18">
        <f>INDEX('[1]活動相關國際化|I18NActivity'!$C:$C,MATCH(D63,'[1]活動相關國際化|I18NActivity'!$A:$A,0))</f>
        <v>0</v>
      </c>
    </row>
    <row r="64" spans="1:5">
      <c r="A64" s="17">
        <f t="shared" si="1"/>
        <v>10706</v>
      </c>
      <c r="B64" s="14" t="s">
        <v>382</v>
      </c>
      <c r="C64" s="80" t="s">
        <v>440</v>
      </c>
      <c r="D64" s="14" t="s">
        <v>185</v>
      </c>
      <c r="E64" s="18">
        <f>INDEX('[1]活動相關國際化|I18NActivity'!$C:$C,MATCH(D64,'[1]活動相關國際化|I18NActivity'!$A:$A,0))</f>
        <v>0</v>
      </c>
    </row>
    <row r="65" spans="1:5">
      <c r="A65" s="17">
        <f t="shared" si="1"/>
        <v>10707</v>
      </c>
      <c r="B65" s="14" t="s">
        <v>383</v>
      </c>
      <c r="C65" s="80" t="s">
        <v>441</v>
      </c>
      <c r="D65" s="14" t="s">
        <v>187</v>
      </c>
      <c r="E65" s="18">
        <f>INDEX('[1]活動相關國際化|I18NActivity'!$C:$C,MATCH(D65,'[1]活動相關國際化|I18NActivity'!$A:$A,0))</f>
        <v>0</v>
      </c>
    </row>
    <row r="66" spans="1:5">
      <c r="A66" s="17">
        <f t="shared" si="1"/>
        <v>10708</v>
      </c>
      <c r="B66" s="14" t="s">
        <v>384</v>
      </c>
      <c r="C66" s="80" t="s">
        <v>442</v>
      </c>
      <c r="D66" s="14" t="s">
        <v>189</v>
      </c>
      <c r="E66" s="18">
        <f>INDEX('[1]活動相關國際化|I18NActivity'!$C:$C,MATCH(D66,'[1]活動相關國際化|I18NActivity'!$A:$A,0))</f>
        <v>0</v>
      </c>
    </row>
    <row r="67" spans="1:5">
      <c r="A67" s="17">
        <f t="shared" si="1"/>
        <v>10709</v>
      </c>
      <c r="B67" s="14" t="s">
        <v>385</v>
      </c>
      <c r="C67" s="80" t="s">
        <v>443</v>
      </c>
      <c r="D67" s="14" t="s">
        <v>191</v>
      </c>
      <c r="E67" s="18">
        <f>INDEX('[1]活動相關國際化|I18NActivity'!$C:$C,MATCH(D67,'[1]活動相關國際化|I18NActivity'!$A:$A,0))</f>
        <v>0</v>
      </c>
    </row>
    <row r="68" spans="1:5">
      <c r="A68" s="19">
        <v>20101</v>
      </c>
      <c r="B68" s="13">
        <v>2540701</v>
      </c>
      <c r="C68" s="13">
        <v>55000000</v>
      </c>
      <c r="D68" s="14" t="str">
        <f>"ScoreRewardName"&amp;A68</f>
        <v>ScoreRewardName20101</v>
      </c>
      <c r="E68" s="18">
        <f>INDEX('[1]活動相關國際化|I18NActivity'!$C:$C,MATCH(D68,'[1]活動相關國際化|I18NActivity'!$A:$A,0))</f>
        <v>0</v>
      </c>
    </row>
    <row r="69" spans="1:5">
      <c r="A69" s="19">
        <v>20102</v>
      </c>
      <c r="B69" s="13">
        <v>2540702</v>
      </c>
      <c r="C69" s="13">
        <v>195000000</v>
      </c>
      <c r="D69" s="14" t="str">
        <f>"ScoreRewardName"&amp;A69</f>
        <v>ScoreRewardName20102</v>
      </c>
      <c r="E69" s="18">
        <f>INDEX('[1]活動相關國際化|I18NActivity'!$C:$C,MATCH(D69,'[1]活動相關國際化|I18NActivity'!$A:$A,0))</f>
        <v>0</v>
      </c>
    </row>
    <row r="70" spans="1:5">
      <c r="A70" s="19">
        <v>20103</v>
      </c>
      <c r="B70" s="13">
        <v>2540703</v>
      </c>
      <c r="C70" s="13">
        <v>685000000</v>
      </c>
      <c r="D70" s="14" t="str">
        <f>"ScoreRewardName"&amp;A70</f>
        <v>ScoreRewardName20103</v>
      </c>
      <c r="E70" s="18">
        <f>INDEX('[1]活動相關國際化|I18NActivity'!$C:$C,MATCH(D70,'[1]活動相關國際化|I18NActivity'!$A:$A,0))</f>
        <v>0</v>
      </c>
    </row>
    <row r="71" spans="1:5">
      <c r="A71" s="20">
        <f>A68+100</f>
        <v>20201</v>
      </c>
      <c r="B71" s="21">
        <f>B68</f>
        <v>2540701</v>
      </c>
      <c r="C71" s="14">
        <v>56000000</v>
      </c>
      <c r="D71" s="14" t="s">
        <v>207</v>
      </c>
      <c r="E71" s="18">
        <f>INDEX('[1]活動相關國際化|I18NActivity'!$C:$C,MATCH(D71,'[1]活動相關國際化|I18NActivity'!$A:$A,0))</f>
        <v>0</v>
      </c>
    </row>
    <row r="72" spans="1:5">
      <c r="A72" s="20">
        <f t="shared" ref="A72:A88" si="2">A69+100</f>
        <v>20202</v>
      </c>
      <c r="B72" s="21">
        <f t="shared" ref="B72:B88" si="3">B69</f>
        <v>2540702</v>
      </c>
      <c r="C72" s="14">
        <v>226000000</v>
      </c>
      <c r="D72" s="14" t="s">
        <v>208</v>
      </c>
      <c r="E72" s="18">
        <f>INDEX('[1]活動相關國際化|I18NActivity'!$C:$C,MATCH(D72,'[1]活動相關國際化|I18NActivity'!$A:$A,0))</f>
        <v>0</v>
      </c>
    </row>
    <row r="73" spans="1:5">
      <c r="A73" s="20">
        <f t="shared" si="2"/>
        <v>20203</v>
      </c>
      <c r="B73" s="21">
        <f t="shared" si="3"/>
        <v>2540703</v>
      </c>
      <c r="C73" s="14">
        <v>726000000</v>
      </c>
      <c r="D73" s="14" t="s">
        <v>209</v>
      </c>
      <c r="E73" s="18">
        <f>INDEX('[1]活動相關國際化|I18NActivity'!$C:$C,MATCH(D73,'[1]活動相關國際化|I18NActivity'!$A:$A,0))</f>
        <v>0</v>
      </c>
    </row>
    <row r="74" spans="1:5">
      <c r="A74" s="20">
        <f t="shared" si="2"/>
        <v>20301</v>
      </c>
      <c r="B74" s="21">
        <f t="shared" si="3"/>
        <v>2540701</v>
      </c>
      <c r="C74" s="14">
        <v>48000000</v>
      </c>
      <c r="D74" s="14" t="s">
        <v>207</v>
      </c>
      <c r="E74" s="18">
        <f>INDEX('[1]活動相關國際化|I18NActivity'!$C:$C,MATCH(D74,'[1]活動相關國際化|I18NActivity'!$A:$A,0))</f>
        <v>0</v>
      </c>
    </row>
    <row r="75" spans="1:5">
      <c r="A75" s="20">
        <f t="shared" si="2"/>
        <v>20302</v>
      </c>
      <c r="B75" s="21">
        <f t="shared" si="3"/>
        <v>2540702</v>
      </c>
      <c r="C75" s="14">
        <v>188000000</v>
      </c>
      <c r="D75" s="14" t="s">
        <v>208</v>
      </c>
      <c r="E75" s="18">
        <f>INDEX('[1]活動相關國際化|I18NActivity'!$C:$C,MATCH(D75,'[1]活動相關國際化|I18NActivity'!$A:$A,0))</f>
        <v>0</v>
      </c>
    </row>
    <row r="76" spans="1:5">
      <c r="A76" s="20">
        <f t="shared" si="2"/>
        <v>20303</v>
      </c>
      <c r="B76" s="21">
        <f t="shared" si="3"/>
        <v>2540703</v>
      </c>
      <c r="C76" s="14">
        <v>618000000</v>
      </c>
      <c r="D76" s="14" t="s">
        <v>209</v>
      </c>
      <c r="E76" s="18">
        <f>INDEX('[1]活動相關國際化|I18NActivity'!$C:$C,MATCH(D76,'[1]活動相關國際化|I18NActivity'!$A:$A,0))</f>
        <v>0</v>
      </c>
    </row>
    <row r="77" spans="1:5">
      <c r="A77" s="20">
        <f t="shared" si="2"/>
        <v>20401</v>
      </c>
      <c r="B77" s="21">
        <f t="shared" si="3"/>
        <v>2540701</v>
      </c>
      <c r="C77" s="14">
        <v>28000000</v>
      </c>
      <c r="D77" s="14" t="s">
        <v>207</v>
      </c>
      <c r="E77" s="18">
        <f>INDEX('[1]活動相關國際化|I18NActivity'!$C:$C,MATCH(D77,'[1]活動相關國際化|I18NActivity'!$A:$A,0))</f>
        <v>0</v>
      </c>
    </row>
    <row r="78" spans="1:5">
      <c r="A78" s="20">
        <f t="shared" si="2"/>
        <v>20402</v>
      </c>
      <c r="B78" s="21">
        <f t="shared" si="3"/>
        <v>2540702</v>
      </c>
      <c r="C78" s="14">
        <v>112000000</v>
      </c>
      <c r="D78" s="14" t="s">
        <v>208</v>
      </c>
      <c r="E78" s="18">
        <f>INDEX('[1]活動相關國際化|I18NActivity'!$C:$C,MATCH(D78,'[1]活動相關國際化|I18NActivity'!$A:$A,0))</f>
        <v>0</v>
      </c>
    </row>
    <row r="79" spans="1:5">
      <c r="A79" s="20">
        <f t="shared" si="2"/>
        <v>20403</v>
      </c>
      <c r="B79" s="21">
        <f t="shared" si="3"/>
        <v>2540703</v>
      </c>
      <c r="C79" s="14">
        <v>362000000</v>
      </c>
      <c r="D79" s="14" t="s">
        <v>209</v>
      </c>
      <c r="E79" s="18">
        <f>INDEX('[1]活動相關國際化|I18NActivity'!$C:$C,MATCH(D79,'[1]活動相關國際化|I18NActivity'!$A:$A,0))</f>
        <v>0</v>
      </c>
    </row>
    <row r="80" spans="1:5">
      <c r="A80" s="20">
        <f t="shared" si="2"/>
        <v>20501</v>
      </c>
      <c r="B80" s="21">
        <f t="shared" si="3"/>
        <v>2540701</v>
      </c>
      <c r="C80" s="14">
        <v>69000000</v>
      </c>
      <c r="D80" s="14" t="s">
        <v>207</v>
      </c>
      <c r="E80" s="18">
        <f>INDEX('[1]活動相關國際化|I18NActivity'!$C:$C,MATCH(D80,'[1]活動相關國際化|I18NActivity'!$A:$A,0))</f>
        <v>0</v>
      </c>
    </row>
    <row r="81" spans="1:5">
      <c r="A81" s="20">
        <f t="shared" si="2"/>
        <v>20502</v>
      </c>
      <c r="B81" s="21">
        <f t="shared" si="3"/>
        <v>2540702</v>
      </c>
      <c r="C81" s="14">
        <v>279000000</v>
      </c>
      <c r="D81" s="14" t="s">
        <v>208</v>
      </c>
      <c r="E81" s="18">
        <f>INDEX('[1]活動相關國際化|I18NActivity'!$C:$C,MATCH(D81,'[1]活動相關國際化|I18NActivity'!$A:$A,0))</f>
        <v>0</v>
      </c>
    </row>
    <row r="82" spans="1:5">
      <c r="A82" s="20">
        <f t="shared" si="2"/>
        <v>20503</v>
      </c>
      <c r="B82" s="21">
        <f t="shared" si="3"/>
        <v>2540703</v>
      </c>
      <c r="C82" s="14">
        <v>909000000</v>
      </c>
      <c r="D82" s="14" t="s">
        <v>209</v>
      </c>
      <c r="E82" s="18">
        <f>INDEX('[1]活動相關國際化|I18NActivity'!$C:$C,MATCH(D82,'[1]活動相關國際化|I18NActivity'!$A:$A,0))</f>
        <v>0</v>
      </c>
    </row>
    <row r="83" spans="1:5">
      <c r="A83" s="20">
        <f t="shared" si="2"/>
        <v>20601</v>
      </c>
      <c r="B83" s="21">
        <f t="shared" si="3"/>
        <v>2540701</v>
      </c>
      <c r="C83" s="80">
        <v>52000000</v>
      </c>
      <c r="D83" s="14" t="s">
        <v>207</v>
      </c>
      <c r="E83" s="18">
        <f>INDEX('[1]活動相關國際化|I18NActivity'!$C:$C,MATCH(D83,'[1]活動相關國際化|I18NActivity'!$A:$A,0))</f>
        <v>0</v>
      </c>
    </row>
    <row r="84" spans="1:5">
      <c r="A84" s="20">
        <f t="shared" si="2"/>
        <v>20602</v>
      </c>
      <c r="B84" s="21">
        <f t="shared" si="3"/>
        <v>2540702</v>
      </c>
      <c r="C84" s="80">
        <v>202000000</v>
      </c>
      <c r="D84" s="14" t="s">
        <v>208</v>
      </c>
      <c r="E84" s="18">
        <f>INDEX('[1]活動相關國際化|I18NActivity'!$C:$C,MATCH(D84,'[1]活動相關國際化|I18NActivity'!$A:$A,0))</f>
        <v>0</v>
      </c>
    </row>
    <row r="85" spans="1:5">
      <c r="A85" s="20">
        <f t="shared" si="2"/>
        <v>20603</v>
      </c>
      <c r="B85" s="21">
        <f t="shared" si="3"/>
        <v>2540703</v>
      </c>
      <c r="C85" s="80">
        <v>662000000</v>
      </c>
      <c r="D85" s="14" t="s">
        <v>209</v>
      </c>
      <c r="E85" s="18">
        <f>INDEX('[1]活動相關國際化|I18NActivity'!$C:$C,MATCH(D85,'[1]活動相關國際化|I18NActivity'!$A:$A,0))</f>
        <v>0</v>
      </c>
    </row>
    <row r="86" spans="1:5">
      <c r="A86" s="20">
        <f t="shared" si="2"/>
        <v>20701</v>
      </c>
      <c r="B86" s="21">
        <f t="shared" si="3"/>
        <v>2540701</v>
      </c>
      <c r="C86" s="80">
        <v>64000000</v>
      </c>
      <c r="D86" s="14" t="s">
        <v>207</v>
      </c>
      <c r="E86" s="18">
        <f>INDEX('[1]活動相關國際化|I18NActivity'!$C:$C,MATCH(D86,'[1]活動相關國際化|I18NActivity'!$A:$A,0))</f>
        <v>0</v>
      </c>
    </row>
    <row r="87" spans="1:5">
      <c r="A87" s="20">
        <f t="shared" si="2"/>
        <v>20702</v>
      </c>
      <c r="B87" s="21">
        <f t="shared" si="3"/>
        <v>2540702</v>
      </c>
      <c r="C87" s="80">
        <v>254000000</v>
      </c>
      <c r="D87" s="14" t="s">
        <v>208</v>
      </c>
      <c r="E87" s="18">
        <f>INDEX('[1]活動相關國際化|I18NActivity'!$C:$C,MATCH(D87,'[1]活動相關國際化|I18NActivity'!$A:$A,0))</f>
        <v>0</v>
      </c>
    </row>
    <row r="88" spans="1:5">
      <c r="A88" s="20">
        <f t="shared" si="2"/>
        <v>20703</v>
      </c>
      <c r="B88" s="21">
        <f t="shared" si="3"/>
        <v>2540703</v>
      </c>
      <c r="C88" s="80">
        <v>834000000</v>
      </c>
      <c r="D88" s="14" t="s">
        <v>209</v>
      </c>
      <c r="E88" s="18">
        <f>INDEX('[1]活動相關國際化|I18NActivity'!$C:$C,MATCH(D88,'[1]活動相關國際化|I18NActivity'!$A:$A,0))</f>
        <v>0</v>
      </c>
    </row>
  </sheetData>
  <phoneticPr fontId="33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workbookViewId="0">
      <selection activeCell="C22" sqref="C22"/>
    </sheetView>
  </sheetViews>
  <sheetFormatPr defaultColWidth="14.875" defaultRowHeight="16.5"/>
  <cols>
    <col min="1" max="1" width="12.25" style="11" customWidth="1"/>
    <col min="2" max="2" width="24.875" style="11" customWidth="1"/>
    <col min="3" max="3" width="12.25" style="11" customWidth="1"/>
    <col min="4" max="4" width="102.125" style="4" customWidth="1"/>
    <col min="5" max="16384" width="14.875" style="11"/>
  </cols>
  <sheetData>
    <row r="1" spans="1:4" s="10" customFormat="1">
      <c r="A1" s="10" t="s">
        <v>0</v>
      </c>
      <c r="B1" s="10" t="s">
        <v>1</v>
      </c>
      <c r="C1" s="10" t="s">
        <v>210</v>
      </c>
      <c r="D1" s="6" t="s">
        <v>211</v>
      </c>
    </row>
    <row r="2" spans="1:4" s="10" customFormat="1">
      <c r="A2" s="10" t="s">
        <v>21</v>
      </c>
      <c r="B2" s="10" t="s">
        <v>22</v>
      </c>
      <c r="C2" s="10" t="s">
        <v>21</v>
      </c>
      <c r="D2" s="6" t="s">
        <v>212</v>
      </c>
    </row>
    <row r="3" spans="1:4" s="10" customFormat="1">
      <c r="A3" s="10" t="s">
        <v>0</v>
      </c>
      <c r="B3" s="10" t="s">
        <v>26</v>
      </c>
      <c r="C3" s="10" t="s">
        <v>213</v>
      </c>
      <c r="D3" s="6" t="s">
        <v>214</v>
      </c>
    </row>
    <row r="4" spans="1:4" s="10" customFormat="1">
      <c r="A4" s="10" t="s">
        <v>47</v>
      </c>
      <c r="B4" s="10" t="s">
        <v>49</v>
      </c>
      <c r="C4" s="10" t="s">
        <v>47</v>
      </c>
      <c r="D4" s="6" t="s">
        <v>47</v>
      </c>
    </row>
    <row r="5" spans="1:4">
      <c r="A5" s="12" t="s">
        <v>215</v>
      </c>
      <c r="B5" s="12" t="s">
        <v>216</v>
      </c>
      <c r="C5" s="12" t="s">
        <v>74</v>
      </c>
      <c r="D5" s="13" t="s">
        <v>217</v>
      </c>
    </row>
    <row r="6" spans="1:4">
      <c r="A6" s="12" t="s">
        <v>218</v>
      </c>
      <c r="B6" s="12" t="s">
        <v>219</v>
      </c>
      <c r="C6" s="12" t="s">
        <v>74</v>
      </c>
      <c r="D6" s="13" t="s">
        <v>220</v>
      </c>
    </row>
    <row r="7" spans="1:4">
      <c r="A7" s="12" t="s">
        <v>221</v>
      </c>
      <c r="B7" s="12" t="s">
        <v>222</v>
      </c>
      <c r="C7" s="12" t="s">
        <v>74</v>
      </c>
      <c r="D7" s="13" t="s">
        <v>223</v>
      </c>
    </row>
    <row r="8" spans="1:4">
      <c r="D8" s="14"/>
    </row>
    <row r="9" spans="1:4">
      <c r="D9" s="14"/>
    </row>
    <row r="10" spans="1:4">
      <c r="D10" s="14"/>
    </row>
    <row r="11" spans="1:4">
      <c r="D11" s="14"/>
    </row>
  </sheetData>
  <phoneticPr fontId="33" type="noConversion"/>
  <pageMargins left="0.7" right="0.7" top="0.75" bottom="0.75" header="0.3" footer="0.3"/>
  <pageSetup paperSize="9" orientation="portrait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9"/>
  <sheetViews>
    <sheetView workbookViewId="0">
      <pane ySplit="4" topLeftCell="A5" activePane="bottomLeft" state="frozen"/>
      <selection pane="bottomLeft" activeCell="E26" sqref="E26"/>
    </sheetView>
  </sheetViews>
  <sheetFormatPr defaultColWidth="16.625" defaultRowHeight="16.5"/>
  <cols>
    <col min="1" max="1" width="11.125" style="62" customWidth="1"/>
    <col min="2" max="2" width="11.375" style="62" customWidth="1"/>
    <col min="3" max="3" width="44.125" style="64" customWidth="1"/>
    <col min="4" max="4" width="18" style="65" customWidth="1"/>
    <col min="5" max="5" width="10.875" style="62" bestFit="1" customWidth="1"/>
    <col min="6" max="6" width="16" style="65" bestFit="1" customWidth="1"/>
    <col min="7" max="7" width="14.625" style="65" customWidth="1"/>
    <col min="8" max="8" width="12.25" style="65" customWidth="1"/>
    <col min="9" max="9" width="29.875" style="65" customWidth="1"/>
    <col min="10" max="10" width="34.375" style="62" bestFit="1" customWidth="1"/>
    <col min="11" max="11" width="34.375" style="62" customWidth="1"/>
    <col min="12" max="12" width="31.875" style="65" customWidth="1"/>
    <col min="13" max="13" width="13.125" style="62" customWidth="1"/>
    <col min="14" max="16384" width="16.625" style="62"/>
  </cols>
  <sheetData>
    <row r="1" spans="1:13" s="1" customFormat="1">
      <c r="A1" s="1" t="s">
        <v>0</v>
      </c>
      <c r="B1" s="1" t="s">
        <v>1</v>
      </c>
      <c r="C1" s="6" t="s">
        <v>224</v>
      </c>
      <c r="D1" s="7" t="s">
        <v>225</v>
      </c>
      <c r="E1" s="7" t="s">
        <v>226</v>
      </c>
      <c r="F1" s="8" t="s">
        <v>228</v>
      </c>
      <c r="G1" s="8" t="s">
        <v>227</v>
      </c>
      <c r="H1" s="8" t="s">
        <v>229</v>
      </c>
      <c r="I1" s="8"/>
      <c r="L1" s="8"/>
    </row>
    <row r="2" spans="1:13" s="1" customFormat="1">
      <c r="A2" s="1" t="s">
        <v>21</v>
      </c>
      <c r="B2" s="1" t="s">
        <v>22</v>
      </c>
      <c r="C2" s="6" t="s">
        <v>25</v>
      </c>
      <c r="D2" s="7" t="s">
        <v>230</v>
      </c>
      <c r="E2" s="7" t="s">
        <v>21</v>
      </c>
      <c r="F2" s="8" t="s">
        <v>22</v>
      </c>
      <c r="G2" s="8" t="s">
        <v>231</v>
      </c>
      <c r="H2" s="8" t="s">
        <v>22</v>
      </c>
      <c r="I2" s="8"/>
      <c r="L2" s="8"/>
    </row>
    <row r="3" spans="1:13" s="1" customFormat="1">
      <c r="A3" s="1" t="s">
        <v>0</v>
      </c>
      <c r="B3" s="1" t="s">
        <v>26</v>
      </c>
      <c r="C3" s="6" t="s">
        <v>232</v>
      </c>
      <c r="D3" s="7" t="s">
        <v>233</v>
      </c>
      <c r="E3" s="7" t="s">
        <v>234</v>
      </c>
      <c r="F3" s="8" t="s">
        <v>236</v>
      </c>
      <c r="G3" s="8" t="s">
        <v>235</v>
      </c>
      <c r="H3" s="8" t="s">
        <v>237</v>
      </c>
      <c r="I3" s="8"/>
      <c r="L3" s="8"/>
    </row>
    <row r="4" spans="1:13" s="1" customFormat="1">
      <c r="A4" s="1" t="s">
        <v>47</v>
      </c>
      <c r="B4" s="1" t="s">
        <v>49</v>
      </c>
      <c r="C4" s="6" t="s">
        <v>113</v>
      </c>
      <c r="D4" s="7" t="s">
        <v>113</v>
      </c>
      <c r="E4" s="7" t="s">
        <v>48</v>
      </c>
      <c r="F4" s="8" t="s">
        <v>113</v>
      </c>
      <c r="G4" s="8" t="s">
        <v>113</v>
      </c>
      <c r="H4" s="8" t="s">
        <v>113</v>
      </c>
      <c r="I4" s="8" t="s">
        <v>239</v>
      </c>
      <c r="J4" s="1" t="s">
        <v>240</v>
      </c>
      <c r="L4" s="8" t="s">
        <v>238</v>
      </c>
    </row>
    <row r="5" spans="1:13">
      <c r="A5" s="62">
        <v>1</v>
      </c>
      <c r="B5" s="62" t="s">
        <v>241</v>
      </c>
      <c r="C5" s="63" t="s">
        <v>315</v>
      </c>
      <c r="E5" s="62">
        <v>1</v>
      </c>
      <c r="F5" s="65" t="s">
        <v>242</v>
      </c>
      <c r="J5" s="67" t="s">
        <v>244</v>
      </c>
      <c r="K5" s="67"/>
      <c r="L5" s="65" t="s">
        <v>243</v>
      </c>
    </row>
    <row r="6" spans="1:13" s="2" customFormat="1">
      <c r="A6" s="2">
        <v>2</v>
      </c>
      <c r="B6" s="2" t="s">
        <v>245</v>
      </c>
      <c r="C6" s="63" t="s">
        <v>316</v>
      </c>
      <c r="D6" s="9"/>
      <c r="E6" s="62">
        <v>1</v>
      </c>
      <c r="G6" s="9"/>
      <c r="H6" s="9"/>
      <c r="I6" s="9"/>
      <c r="L6" s="9" t="s">
        <v>246</v>
      </c>
      <c r="M6" s="2" t="s">
        <v>247</v>
      </c>
    </row>
    <row r="7" spans="1:13">
      <c r="A7" s="62">
        <v>3</v>
      </c>
      <c r="B7" s="66" t="s">
        <v>248</v>
      </c>
      <c r="C7" s="63" t="s">
        <v>317</v>
      </c>
      <c r="E7" s="62">
        <v>2</v>
      </c>
      <c r="F7" s="65" t="s">
        <v>411</v>
      </c>
      <c r="I7" s="84" t="s">
        <v>448</v>
      </c>
      <c r="J7" s="67" t="s">
        <v>250</v>
      </c>
      <c r="K7" s="67"/>
      <c r="L7" s="65" t="s">
        <v>249</v>
      </c>
    </row>
    <row r="8" spans="1:13">
      <c r="A8" s="62">
        <v>4</v>
      </c>
      <c r="B8" s="66" t="s">
        <v>251</v>
      </c>
      <c r="C8" s="63" t="s">
        <v>318</v>
      </c>
      <c r="E8" s="62">
        <v>1</v>
      </c>
      <c r="F8" s="65" t="s">
        <v>412</v>
      </c>
      <c r="I8" s="65" t="s">
        <v>253</v>
      </c>
      <c r="J8" s="67" t="s">
        <v>254</v>
      </c>
      <c r="K8" s="67"/>
      <c r="L8" s="65" t="s">
        <v>252</v>
      </c>
    </row>
    <row r="9" spans="1:13" s="2" customFormat="1">
      <c r="A9" s="2">
        <v>5</v>
      </c>
      <c r="B9" s="2" t="s">
        <v>255</v>
      </c>
      <c r="C9" s="63" t="s">
        <v>319</v>
      </c>
      <c r="D9" s="9"/>
      <c r="E9" s="62">
        <v>4</v>
      </c>
      <c r="G9" s="9"/>
      <c r="H9" s="9"/>
      <c r="I9" s="9" t="s">
        <v>257</v>
      </c>
      <c r="L9" s="9" t="s">
        <v>256</v>
      </c>
      <c r="M9" s="2" t="s">
        <v>247</v>
      </c>
    </row>
    <row r="10" spans="1:13" s="2" customFormat="1">
      <c r="A10" s="2">
        <v>6</v>
      </c>
      <c r="B10" s="2" t="s">
        <v>258</v>
      </c>
      <c r="C10" s="63" t="s">
        <v>66</v>
      </c>
      <c r="D10" s="9"/>
      <c r="E10" s="62">
        <v>1</v>
      </c>
      <c r="G10" s="9"/>
      <c r="H10" s="9"/>
      <c r="I10" s="9"/>
      <c r="L10" s="9" t="s">
        <v>259</v>
      </c>
      <c r="M10" s="2" t="s">
        <v>247</v>
      </c>
    </row>
    <row r="11" spans="1:13">
      <c r="A11" s="62">
        <v>7</v>
      </c>
      <c r="B11" s="66" t="s">
        <v>260</v>
      </c>
      <c r="C11" s="63" t="s">
        <v>320</v>
      </c>
      <c r="E11" s="62">
        <v>1</v>
      </c>
      <c r="F11" s="65" t="s">
        <v>261</v>
      </c>
      <c r="I11" s="65" t="s">
        <v>253</v>
      </c>
      <c r="J11" s="67" t="s">
        <v>263</v>
      </c>
      <c r="K11" s="67"/>
      <c r="L11" s="65" t="s">
        <v>262</v>
      </c>
    </row>
    <row r="12" spans="1:13">
      <c r="A12" s="62">
        <v>8</v>
      </c>
      <c r="B12" s="62" t="s">
        <v>264</v>
      </c>
      <c r="C12" s="63" t="s">
        <v>331</v>
      </c>
      <c r="E12" s="62">
        <v>5</v>
      </c>
      <c r="F12" s="65" t="s">
        <v>265</v>
      </c>
      <c r="I12" s="65" t="s">
        <v>314</v>
      </c>
      <c r="J12" s="67" t="s">
        <v>267</v>
      </c>
      <c r="K12" s="67"/>
      <c r="L12" s="65" t="s">
        <v>266</v>
      </c>
    </row>
    <row r="13" spans="1:13">
      <c r="A13" s="62">
        <v>9</v>
      </c>
      <c r="B13" s="62" t="s">
        <v>268</v>
      </c>
      <c r="C13" s="63" t="s">
        <v>321</v>
      </c>
      <c r="E13" s="62">
        <v>3</v>
      </c>
      <c r="F13" s="65" t="s">
        <v>269</v>
      </c>
      <c r="I13" s="65" t="s">
        <v>271</v>
      </c>
      <c r="J13" s="67" t="s">
        <v>272</v>
      </c>
      <c r="K13" s="67"/>
      <c r="L13" s="65" t="s">
        <v>270</v>
      </c>
    </row>
    <row r="14" spans="1:13">
      <c r="A14" s="62">
        <v>10</v>
      </c>
      <c r="B14" s="62" t="s">
        <v>273</v>
      </c>
      <c r="C14" s="63" t="s">
        <v>322</v>
      </c>
      <c r="E14" s="62">
        <v>3</v>
      </c>
      <c r="F14" s="65" t="s">
        <v>274</v>
      </c>
      <c r="I14" s="65" t="s">
        <v>271</v>
      </c>
      <c r="J14" s="67" t="s">
        <v>276</v>
      </c>
      <c r="K14" s="67"/>
      <c r="L14" s="65" t="s">
        <v>275</v>
      </c>
    </row>
    <row r="15" spans="1:13">
      <c r="A15" s="62">
        <v>11</v>
      </c>
      <c r="B15" s="62" t="s">
        <v>277</v>
      </c>
      <c r="C15" s="63" t="s">
        <v>323</v>
      </c>
      <c r="E15" s="62">
        <v>1</v>
      </c>
      <c r="F15" s="65" t="s">
        <v>278</v>
      </c>
      <c r="I15" s="65" t="s">
        <v>280</v>
      </c>
      <c r="J15" s="67" t="s">
        <v>281</v>
      </c>
      <c r="K15" s="67"/>
      <c r="L15" s="65" t="s">
        <v>279</v>
      </c>
    </row>
    <row r="16" spans="1:13">
      <c r="A16" s="62">
        <v>12</v>
      </c>
      <c r="B16" s="62" t="s">
        <v>282</v>
      </c>
      <c r="C16" s="63" t="s">
        <v>283</v>
      </c>
      <c r="E16" s="62">
        <v>1</v>
      </c>
      <c r="F16" s="65" t="s">
        <v>284</v>
      </c>
      <c r="I16" s="65" t="s">
        <v>286</v>
      </c>
      <c r="J16" s="67" t="s">
        <v>287</v>
      </c>
      <c r="K16" s="67"/>
      <c r="L16" s="65" t="s">
        <v>285</v>
      </c>
    </row>
    <row r="17" spans="1:14">
      <c r="A17" s="62">
        <v>13</v>
      </c>
      <c r="B17" s="66" t="s">
        <v>288</v>
      </c>
      <c r="C17" s="63" t="s">
        <v>324</v>
      </c>
      <c r="E17" s="62">
        <v>1</v>
      </c>
      <c r="F17" s="65" t="s">
        <v>289</v>
      </c>
      <c r="I17" s="65" t="s">
        <v>291</v>
      </c>
      <c r="J17" s="67" t="s">
        <v>292</v>
      </c>
      <c r="K17" s="67"/>
      <c r="L17" s="65" t="s">
        <v>290</v>
      </c>
    </row>
    <row r="18" spans="1:14">
      <c r="A18" s="62">
        <v>14</v>
      </c>
      <c r="B18" s="66" t="s">
        <v>137</v>
      </c>
      <c r="C18" s="63" t="s">
        <v>325</v>
      </c>
      <c r="E18" s="62">
        <v>1</v>
      </c>
      <c r="F18" s="65" t="s">
        <v>293</v>
      </c>
      <c r="I18" s="65" t="s">
        <v>295</v>
      </c>
      <c r="J18" s="67" t="s">
        <v>296</v>
      </c>
      <c r="K18" s="67"/>
      <c r="L18" s="65" t="s">
        <v>294</v>
      </c>
    </row>
    <row r="19" spans="1:14">
      <c r="A19" s="62">
        <v>15</v>
      </c>
      <c r="B19" s="62" t="s">
        <v>297</v>
      </c>
      <c r="C19" s="63" t="s">
        <v>326</v>
      </c>
      <c r="E19" s="62">
        <v>1</v>
      </c>
      <c r="F19" s="65" t="s">
        <v>298</v>
      </c>
      <c r="I19" s="65" t="s">
        <v>295</v>
      </c>
      <c r="J19" s="67" t="s">
        <v>300</v>
      </c>
      <c r="K19" s="67"/>
      <c r="L19" s="65" t="s">
        <v>299</v>
      </c>
    </row>
    <row r="20" spans="1:14">
      <c r="A20" s="62">
        <v>16</v>
      </c>
      <c r="B20" s="62" t="s">
        <v>301</v>
      </c>
      <c r="C20" s="63" t="s">
        <v>327</v>
      </c>
      <c r="E20" s="62">
        <v>1</v>
      </c>
      <c r="F20" s="65" t="s">
        <v>302</v>
      </c>
      <c r="I20" s="65" t="s">
        <v>303</v>
      </c>
      <c r="J20" s="67" t="s">
        <v>304</v>
      </c>
      <c r="K20" s="67"/>
      <c r="L20" s="65" t="s">
        <v>413</v>
      </c>
    </row>
    <row r="21" spans="1:14" s="2" customFormat="1">
      <c r="A21" s="2">
        <v>17</v>
      </c>
      <c r="B21" s="2" t="s">
        <v>305</v>
      </c>
      <c r="C21" s="63" t="s">
        <v>328</v>
      </c>
      <c r="D21" s="9"/>
      <c r="E21" s="62">
        <v>1</v>
      </c>
      <c r="G21" s="9"/>
      <c r="H21" s="9"/>
      <c r="I21" s="9"/>
      <c r="L21" s="9" t="s">
        <v>306</v>
      </c>
      <c r="M21" s="2" t="s">
        <v>247</v>
      </c>
    </row>
    <row r="22" spans="1:14">
      <c r="A22" s="62">
        <v>18</v>
      </c>
      <c r="B22" s="66" t="s">
        <v>307</v>
      </c>
      <c r="C22" s="63" t="s">
        <v>329</v>
      </c>
      <c r="E22" s="62">
        <v>1</v>
      </c>
      <c r="F22" s="65" t="s">
        <v>308</v>
      </c>
      <c r="I22" s="65" t="s">
        <v>295</v>
      </c>
      <c r="J22" s="67" t="s">
        <v>310</v>
      </c>
      <c r="K22" s="67"/>
      <c r="L22" s="65" t="s">
        <v>309</v>
      </c>
    </row>
    <row r="23" spans="1:14">
      <c r="A23" s="62">
        <v>19</v>
      </c>
      <c r="B23" s="62" t="s">
        <v>311</v>
      </c>
      <c r="C23" s="63" t="s">
        <v>330</v>
      </c>
      <c r="E23" s="62">
        <v>1</v>
      </c>
      <c r="F23" s="65" t="s">
        <v>312</v>
      </c>
      <c r="I23" s="65" t="s">
        <v>295</v>
      </c>
      <c r="J23" s="67" t="s">
        <v>414</v>
      </c>
      <c r="K23" s="67"/>
      <c r="L23" s="65" t="s">
        <v>313</v>
      </c>
    </row>
    <row r="24" spans="1:14">
      <c r="A24" s="62">
        <v>20</v>
      </c>
      <c r="B24" s="62" t="s">
        <v>409</v>
      </c>
      <c r="C24" s="64" t="s">
        <v>415</v>
      </c>
      <c r="E24" s="62">
        <v>3</v>
      </c>
      <c r="F24" s="65" t="s">
        <v>410</v>
      </c>
      <c r="I24" s="65" t="s">
        <v>271</v>
      </c>
      <c r="J24" s="62" t="s">
        <v>267</v>
      </c>
      <c r="L24" s="65" t="s">
        <v>266</v>
      </c>
    </row>
    <row r="25" spans="1:14">
      <c r="I25" s="67"/>
      <c r="J25" s="67"/>
      <c r="K25" s="67"/>
      <c r="L25" s="67"/>
      <c r="M25" s="67"/>
      <c r="N25" s="67"/>
    </row>
    <row r="26" spans="1:14">
      <c r="I26" s="67"/>
      <c r="J26" s="67"/>
      <c r="K26" s="67"/>
      <c r="L26" s="67"/>
      <c r="M26" s="67"/>
      <c r="N26" s="67"/>
    </row>
    <row r="27" spans="1:14">
      <c r="I27" s="67"/>
      <c r="J27" s="67"/>
      <c r="K27" s="67"/>
      <c r="L27" s="67"/>
      <c r="M27" s="67"/>
      <c r="N27" s="67"/>
    </row>
    <row r="28" spans="1:14">
      <c r="I28" s="67"/>
      <c r="J28" s="67"/>
      <c r="K28" s="67"/>
      <c r="L28" s="67"/>
      <c r="M28" s="67"/>
      <c r="N28" s="67"/>
    </row>
    <row r="29" spans="1:14">
      <c r="I29" s="67"/>
      <c r="J29" s="67"/>
      <c r="K29" s="67"/>
      <c r="L29" s="67"/>
      <c r="M29" s="67"/>
      <c r="N29" s="67"/>
    </row>
    <row r="30" spans="1:14">
      <c r="I30" s="67"/>
      <c r="J30" s="67"/>
      <c r="K30" s="67"/>
      <c r="L30" s="67"/>
      <c r="M30" s="67"/>
      <c r="N30" s="67"/>
    </row>
    <row r="31" spans="1:14">
      <c r="I31" s="67"/>
      <c r="J31" s="67"/>
      <c r="K31" s="67"/>
      <c r="L31" s="67"/>
      <c r="M31" s="67"/>
      <c r="N31" s="67"/>
    </row>
    <row r="32" spans="1:14">
      <c r="I32" s="67"/>
      <c r="J32" s="67"/>
      <c r="K32" s="67"/>
      <c r="L32" s="67"/>
      <c r="M32" s="67"/>
      <c r="N32" s="67"/>
    </row>
    <row r="33" spans="9:14">
      <c r="I33" s="67"/>
      <c r="J33" s="67"/>
      <c r="K33" s="67"/>
      <c r="L33" s="67"/>
      <c r="M33" s="67"/>
      <c r="N33" s="67"/>
    </row>
    <row r="34" spans="9:14">
      <c r="I34" s="67"/>
      <c r="J34" s="67"/>
      <c r="K34" s="67"/>
      <c r="L34" s="67"/>
      <c r="M34" s="67"/>
      <c r="N34" s="67"/>
    </row>
    <row r="35" spans="9:14">
      <c r="I35" s="67"/>
      <c r="J35" s="67"/>
      <c r="K35" s="67"/>
      <c r="L35" s="67"/>
      <c r="M35" s="67"/>
      <c r="N35" s="67"/>
    </row>
    <row r="36" spans="9:14">
      <c r="I36" s="67"/>
      <c r="J36" s="67"/>
      <c r="K36" s="67"/>
      <c r="L36" s="67"/>
      <c r="M36" s="67"/>
      <c r="N36" s="67"/>
    </row>
    <row r="37" spans="9:14">
      <c r="I37" s="67"/>
      <c r="J37" s="67"/>
      <c r="K37" s="67"/>
      <c r="L37" s="67"/>
      <c r="M37" s="67"/>
      <c r="N37" s="67"/>
    </row>
    <row r="38" spans="9:14">
      <c r="I38" s="67"/>
      <c r="J38" s="67"/>
      <c r="K38" s="67"/>
      <c r="L38" s="67"/>
      <c r="M38" s="67"/>
      <c r="N38" s="67"/>
    </row>
    <row r="39" spans="9:14">
      <c r="I39" s="67"/>
      <c r="J39" s="67"/>
      <c r="K39" s="67"/>
      <c r="L39" s="67"/>
      <c r="M39" s="67"/>
      <c r="N39" s="67"/>
    </row>
  </sheetData>
  <sortState xmlns:xlrd2="http://schemas.microsoft.com/office/spreadsheetml/2017/richdata2" ref="A5:I23">
    <sortCondition ref="H5:H23"/>
  </sortState>
  <phoneticPr fontId="33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C54F1-BC7B-439C-91FD-41818D6CDD93}">
  <dimension ref="A1:F8"/>
  <sheetViews>
    <sheetView workbookViewId="0">
      <selection activeCell="F4" sqref="F4"/>
    </sheetView>
  </sheetViews>
  <sheetFormatPr defaultRowHeight="16.5"/>
  <cols>
    <col min="1" max="1" width="11.125" style="73" bestFit="1" customWidth="1"/>
    <col min="2" max="2" width="19.75" style="73" bestFit="1" customWidth="1"/>
    <col min="3" max="3" width="22.25" style="73" bestFit="1" customWidth="1"/>
    <col min="4" max="16384" width="9" style="73"/>
  </cols>
  <sheetData>
    <row r="1" spans="1:6">
      <c r="A1" s="73" t="s">
        <v>0</v>
      </c>
      <c r="B1" s="73" t="s">
        <v>420</v>
      </c>
    </row>
    <row r="2" spans="1:6">
      <c r="A2" s="73" t="s">
        <v>21</v>
      </c>
      <c r="B2" s="73" t="s">
        <v>22</v>
      </c>
    </row>
    <row r="3" spans="1:6">
      <c r="A3" s="73" t="s">
        <v>0</v>
      </c>
      <c r="B3" s="73" t="s">
        <v>421</v>
      </c>
    </row>
    <row r="4" spans="1:6">
      <c r="A4" s="73" t="s">
        <v>47</v>
      </c>
      <c r="B4" s="73" t="s">
        <v>47</v>
      </c>
      <c r="E4" s="73" t="s">
        <v>430</v>
      </c>
      <c r="F4" s="73" t="str">
        <f>_xlfn.TEXTJOIN("|",TRUE,F5:F8)</f>
        <v>1:1|2:1|3:1|4:1</v>
      </c>
    </row>
    <row r="5" spans="1:6">
      <c r="A5" s="73">
        <v>1</v>
      </c>
      <c r="B5" s="73" t="s">
        <v>425</v>
      </c>
      <c r="C5" s="73" t="s">
        <v>434</v>
      </c>
      <c r="E5" s="73">
        <v>1</v>
      </c>
      <c r="F5" s="73" t="str">
        <f>$A5&amp;":"&amp;E5</f>
        <v>1:1</v>
      </c>
    </row>
    <row r="6" spans="1:6">
      <c r="A6" s="73">
        <v>2</v>
      </c>
      <c r="B6" s="73" t="s">
        <v>426</v>
      </c>
      <c r="C6" s="73" t="s">
        <v>422</v>
      </c>
      <c r="E6" s="73">
        <v>1</v>
      </c>
      <c r="F6" s="73" t="str">
        <f t="shared" ref="F6:F8" si="0">$A6&amp;":"&amp;E6</f>
        <v>2:1</v>
      </c>
    </row>
    <row r="7" spans="1:6">
      <c r="A7" s="73">
        <v>3</v>
      </c>
      <c r="B7" s="73" t="s">
        <v>427</v>
      </c>
      <c r="C7" s="73" t="s">
        <v>423</v>
      </c>
      <c r="E7" s="73">
        <v>1</v>
      </c>
      <c r="F7" s="73" t="str">
        <f t="shared" si="0"/>
        <v>3:1</v>
      </c>
    </row>
    <row r="8" spans="1:6">
      <c r="A8" s="73">
        <v>4</v>
      </c>
      <c r="B8" s="73" t="s">
        <v>428</v>
      </c>
      <c r="C8" s="73" t="s">
        <v>116</v>
      </c>
      <c r="E8" s="73">
        <v>1</v>
      </c>
      <c r="F8" s="73" t="str">
        <f t="shared" si="0"/>
        <v>4:1</v>
      </c>
    </row>
  </sheetData>
  <phoneticPr fontId="3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活动中心|Activity</vt:lpstr>
      <vt:lpstr>新活动|ActivityTplScore</vt:lpstr>
      <vt:lpstr>档位积分|TierScore</vt:lpstr>
      <vt:lpstr>活动排名|RankGift</vt:lpstr>
      <vt:lpstr>积分规则|ScoreRule</vt:lpstr>
      <vt:lpstr>活动权限|ActivityLimits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朵朵</cp:lastModifiedBy>
  <dcterms:created xsi:type="dcterms:W3CDTF">2006-09-17T16:00:00Z</dcterms:created>
  <dcterms:modified xsi:type="dcterms:W3CDTF">2021-04-16T03:54:27Z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2052-11.1.0.10356</vt:lpwstr>
  </property>
  <property fmtid="{D5CDD505-2E9C-101B-9397-08002B2CF9AE}" pid="3" name="ICV">
    <vt:lpwstr>F570C6F14D27413F8305DFCFC7DF7C2A</vt:lpwstr>
  </property>
</Properties>
</file>